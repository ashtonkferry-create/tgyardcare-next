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Price Sheet" sheetId="1" state="visible" r:id="rId1"/>
    <sheet name="Pricing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0"/>
    <numFmt numFmtId="166" formatCode="$#,##0.00"/>
  </numFmts>
  <fonts count="19">
    <font>
      <name val="Calibri"/>
      <family val="2"/>
      <color theme="1"/>
      <sz val="11"/>
      <scheme val="minor"/>
    </font>
    <font>
      <name val="Calibri"/>
      <b val="1"/>
      <color rgb="001B5E20"/>
      <sz val="20"/>
    </font>
    <font>
      <name val="Calibri"/>
      <i val="1"/>
      <color rgb="00757575"/>
      <sz val="11"/>
    </font>
    <font>
      <name val="Calibri"/>
      <b val="1"/>
      <color rgb="00FFFFFF"/>
      <sz val="11"/>
    </font>
    <font>
      <name val="Calibri"/>
      <i val="1"/>
      <color rgb="009E9E9E"/>
      <sz val="9"/>
    </font>
    <font>
      <name val="Calibri"/>
      <b val="1"/>
      <color rgb="00212121"/>
      <sz val="11"/>
    </font>
    <font>
      <name val="Calibri"/>
      <b val="1"/>
      <color rgb="001B5E20"/>
      <sz val="11"/>
    </font>
    <font>
      <name val="Calibri"/>
      <color rgb="00212121"/>
      <sz val="11"/>
    </font>
    <font>
      <name val="Calibri"/>
      <b val="1"/>
      <color rgb="001B5E20"/>
      <sz val="22"/>
    </font>
    <font>
      <name val="Calibri"/>
      <color rgb="00616161"/>
      <sz val="13"/>
    </font>
    <font>
      <name val="Calibri"/>
      <b val="1"/>
      <color rgb="00FFFFFF"/>
      <sz val="12"/>
    </font>
    <font>
      <name val="Calibri"/>
      <b val="1"/>
      <color rgb="000000FF"/>
      <sz val="12"/>
    </font>
    <font>
      <name val="Calibri"/>
      <color rgb="00BDBDBD"/>
      <sz val="9"/>
    </font>
    <font>
      <name val="Calibri"/>
      <b val="1"/>
      <color rgb="001B5E20"/>
      <sz val="40"/>
    </font>
    <font>
      <name val="Calibri"/>
      <color rgb="009E9E9E"/>
      <sz val="10"/>
    </font>
    <font>
      <name val="Calibri"/>
      <color rgb="00616161"/>
      <sz val="10"/>
    </font>
    <font>
      <name val="Calibri"/>
      <b val="1"/>
      <color rgb="00212121"/>
      <sz val="10"/>
    </font>
    <font>
      <name val="Calibri"/>
      <b val="1"/>
      <color rgb="00616161"/>
      <sz val="10"/>
    </font>
    <font>
      <name val="Calibr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9A825"/>
      </patternFill>
    </fill>
    <fill>
      <patternFill patternType="solid">
        <fgColor rgb="002E7D32"/>
      </patternFill>
    </fill>
  </fills>
  <borders count="9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/>
      <right/>
      <top style="thin">
        <color rgb="00C8E6C9"/>
      </top>
      <bottom/>
      <diagonal/>
    </border>
    <border>
      <left/>
      <right style="thin">
        <color rgb="00C8E6C9"/>
      </right>
      <top style="thin">
        <color rgb="00C8E6C9"/>
      </top>
      <bottom/>
      <diagonal/>
    </border>
    <border>
      <left/>
      <right/>
      <top style="thin">
        <color rgb="00C8E6C9"/>
      </top>
      <bottom style="thin">
        <color rgb="00C8E6C9"/>
      </bottom>
      <diagonal/>
    </border>
    <border>
      <left/>
      <right style="thin">
        <color rgb="00C8E6C9"/>
      </right>
      <top style="thin">
        <color rgb="00C8E6C9"/>
      </top>
      <bottom style="thin">
        <color rgb="00C8E6C9"/>
      </bottom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bottom style="thin">
        <color rgb="00E0E0E0"/>
      </bottom>
    </border>
    <border>
      <bottom style="medium">
        <color rgb="001B5E2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11" fillId="5" borderId="6" applyAlignment="1" pivotButton="0" quotePrefix="0" xfId="0">
      <alignment horizontal="center" vertical="center"/>
    </xf>
    <xf numFmtId="3" fontId="11" fillId="5" borderId="6" applyAlignment="1" pivotButton="0" quotePrefix="0" xfId="0">
      <alignment horizontal="center" vertical="center"/>
    </xf>
    <xf numFmtId="0" fontId="4" fillId="0" borderId="0" pivotButton="0" quotePrefix="0" xfId="0"/>
    <xf numFmtId="0" fontId="10" fillId="6" borderId="1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5" fillId="0" borderId="7" pivotButton="0" quotePrefix="0" xfId="0"/>
    <xf numFmtId="0" fontId="16" fillId="0" borderId="7" applyAlignment="1" pivotButton="0" quotePrefix="0" xfId="0">
      <alignment horizontal="right"/>
    </xf>
    <xf numFmtId="3" fontId="16" fillId="0" borderId="7" applyAlignment="1" pivotButton="0" quotePrefix="0" xfId="0">
      <alignment horizontal="right"/>
    </xf>
    <xf numFmtId="164" fontId="16" fillId="0" borderId="7" applyAlignment="1" pivotButton="0" quotePrefix="0" xfId="0">
      <alignment horizontal="right"/>
    </xf>
    <xf numFmtId="165" fontId="16" fillId="0" borderId="7" applyAlignment="1" pivotButton="0" quotePrefix="0" xfId="0">
      <alignment horizontal="right"/>
    </xf>
    <xf numFmtId="166" fontId="16" fillId="0" borderId="7" applyAlignment="1" pivotButton="0" quotePrefix="0" xfId="0">
      <alignment horizontal="right"/>
    </xf>
    <xf numFmtId="0" fontId="17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2:G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6" customWidth="1" min="4" max="4"/>
    <col width="55" customWidth="1" min="5" max="5"/>
    <col width="16" customWidth="1" min="6" max="6"/>
    <col width="14" customWidth="1" min="7" max="7"/>
  </cols>
  <sheetData>
    <row r="2">
      <c r="B2" s="1" t="inlineStr">
        <is>
          <t>TotalGuard Yard Care — Master Price Sheet</t>
        </is>
      </c>
    </row>
    <row r="3">
      <c r="B3" s="2" t="inlineStr">
        <is>
          <t>Internal Reference — Do Not Share  |  March 2026</t>
        </is>
      </c>
    </row>
    <row r="5">
      <c r="A5" s="3" t="inlineStr"/>
      <c r="B5" s="3" t="inlineStr">
        <is>
          <t>Service</t>
        </is>
      </c>
      <c r="C5" s="3" t="inlineStr">
        <is>
          <t>Min Price</t>
        </is>
      </c>
      <c r="D5" s="3" t="inlineStr">
        <is>
          <t>Per Unit Rate</t>
        </is>
      </c>
      <c r="E5" s="3" t="inlineStr">
        <is>
          <t>What's Included</t>
        </is>
      </c>
      <c r="F5" s="3" t="inlineStr">
        <is>
          <t>Season</t>
        </is>
      </c>
      <c r="G5" s="3" t="inlineStr">
        <is>
          <t>Unit Type</t>
        </is>
      </c>
    </row>
    <row r="6">
      <c r="A6" s="4" t="n">
        <v>1</v>
      </c>
      <c r="B6" s="5" t="inlineStr">
        <is>
          <t>Weekly Mowing</t>
        </is>
      </c>
      <c r="C6" s="6" t="n">
        <v>55</v>
      </c>
      <c r="D6" s="7" t="n">
        <v>0.003</v>
      </c>
      <c r="E6" s="8" t="inlineStr">
        <is>
          <t>Professional mowing, trimming, edging, blow-off</t>
        </is>
      </c>
      <c r="F6" s="9" t="inlineStr">
        <is>
          <t>Apr–Oct</t>
        </is>
      </c>
      <c r="G6" s="9" t="inlineStr">
        <is>
          <t>/sq ft</t>
        </is>
      </c>
    </row>
    <row r="7">
      <c r="A7" s="10" t="n">
        <v>2</v>
      </c>
      <c r="B7" s="11" t="inlineStr">
        <is>
          <t>Edging (add-on)</t>
        </is>
      </c>
      <c r="C7" s="12" t="n">
        <v>10</v>
      </c>
      <c r="D7" s="13" t="n">
        <v>0.001</v>
      </c>
      <c r="E7" s="14" t="inlineStr">
        <is>
          <t>Hard-edge along walks, drives, beds</t>
        </is>
      </c>
      <c r="F7" s="15" t="inlineStr">
        <is>
          <t>Apr–Oct</t>
        </is>
      </c>
      <c r="G7" s="15" t="inlineStr">
        <is>
          <t>/sq ft</t>
        </is>
      </c>
    </row>
    <row r="8">
      <c r="A8" s="4" t="n">
        <v>3</v>
      </c>
      <c r="B8" s="5" t="inlineStr">
        <is>
          <t>Spring Cleanup</t>
        </is>
      </c>
      <c r="C8" s="6" t="n">
        <v>150</v>
      </c>
      <c r="D8" s="7" t="n">
        <v>0.018</v>
      </c>
      <c r="E8" s="8" t="inlineStr">
        <is>
          <t>Debris removal, bed cleanup, first mow, edge all borders</t>
        </is>
      </c>
      <c r="F8" s="9" t="inlineStr">
        <is>
          <t>Mar–May</t>
        </is>
      </c>
      <c r="G8" s="9" t="inlineStr">
        <is>
          <t>/sq ft</t>
        </is>
      </c>
    </row>
    <row r="9">
      <c r="A9" s="10" t="n">
        <v>4</v>
      </c>
      <c r="B9" s="11" t="inlineStr">
        <is>
          <t>Fall Cleanup</t>
        </is>
      </c>
      <c r="C9" s="12" t="n">
        <v>175</v>
      </c>
      <c r="D9" s="13" t="n">
        <v>0.02</v>
      </c>
      <c r="E9" s="14" t="inlineStr">
        <is>
          <t>Leaf removal, final mow, bed prep, gutter flush</t>
        </is>
      </c>
      <c r="F9" s="15" t="inlineStr">
        <is>
          <t>Oct–Nov</t>
        </is>
      </c>
      <c r="G9" s="15" t="inlineStr">
        <is>
          <t>/sq ft</t>
        </is>
      </c>
    </row>
    <row r="10">
      <c r="A10" s="4" t="n">
        <v>5</v>
      </c>
      <c r="B10" s="5" t="inlineStr">
        <is>
          <t>Fertilizer Application</t>
        </is>
      </c>
      <c r="C10" s="6" t="n">
        <v>85</v>
      </c>
      <c r="D10" s="7" t="n">
        <v>0.008</v>
      </c>
      <c r="E10" s="8" t="inlineStr">
        <is>
          <t>Granular fertilizer, custom blend per season</t>
        </is>
      </c>
      <c r="F10" s="9" t="inlineStr">
        <is>
          <t>Apr–Oct</t>
        </is>
      </c>
      <c r="G10" s="9" t="inlineStr">
        <is>
          <t>/sq ft</t>
        </is>
      </c>
    </row>
    <row r="11">
      <c r="A11" s="10" t="n">
        <v>6</v>
      </c>
      <c r="B11" s="11" t="inlineStr">
        <is>
          <t>Herbicide Treatment</t>
        </is>
      </c>
      <c r="C11" s="12" t="n">
        <v>95</v>
      </c>
      <c r="D11" s="13" t="n">
        <v>0.008999999999999999</v>
      </c>
      <c r="E11" s="14" t="inlineStr">
        <is>
          <t>Selective herbicide — kills broadleaf, safe for grass</t>
        </is>
      </c>
      <c r="F11" s="15" t="inlineStr">
        <is>
          <t>May–Sep</t>
        </is>
      </c>
      <c r="G11" s="15" t="inlineStr">
        <is>
          <t>/sq ft</t>
        </is>
      </c>
    </row>
    <row r="12">
      <c r="A12" s="4" t="n">
        <v>7</v>
      </c>
      <c r="B12" s="5" t="inlineStr">
        <is>
          <t>Core Aeration</t>
        </is>
      </c>
      <c r="C12" s="6" t="n">
        <v>125</v>
      </c>
      <c r="D12" s="7" t="n">
        <v>0.012</v>
      </c>
      <c r="E12" s="8" t="inlineStr">
        <is>
          <t>Mechanical core aeration, plugs left to decompose</t>
        </is>
      </c>
      <c r="F12" s="9" t="inlineStr">
        <is>
          <t>Sep–Oct</t>
        </is>
      </c>
      <c r="G12" s="9" t="inlineStr">
        <is>
          <t>/sq ft</t>
        </is>
      </c>
    </row>
    <row r="13">
      <c r="A13" s="10" t="n">
        <v>8</v>
      </c>
      <c r="B13" s="11" t="inlineStr">
        <is>
          <t>Overseeding</t>
        </is>
      </c>
      <c r="C13" s="12" t="n">
        <v>100</v>
      </c>
      <c r="D13" s="13" t="n">
        <v>0.01</v>
      </c>
      <c r="E13" s="14" t="inlineStr">
        <is>
          <t>Premium grass seed broadcast over aerated lawn</t>
        </is>
      </c>
      <c r="F13" s="15" t="inlineStr">
        <is>
          <t>Sep–Oct</t>
        </is>
      </c>
      <c r="G13" s="15" t="inlineStr">
        <is>
          <t>/sq ft</t>
        </is>
      </c>
    </row>
    <row r="14">
      <c r="A14" s="4" t="n">
        <v>9</v>
      </c>
      <c r="B14" s="5" t="inlineStr">
        <is>
          <t>Aeration + Overseed Bundle</t>
        </is>
      </c>
      <c r="C14" s="6" t="n">
        <v>200</v>
      </c>
      <c r="D14" s="7" t="n">
        <v>0.019</v>
      </c>
      <c r="E14" s="8" t="inlineStr">
        <is>
          <t>Core aeration + overseeding in one visit (save $25)</t>
        </is>
      </c>
      <c r="F14" s="9" t="inlineStr">
        <is>
          <t>Sep–Oct</t>
        </is>
      </c>
      <c r="G14" s="9" t="inlineStr">
        <is>
          <t>/sq ft</t>
        </is>
      </c>
    </row>
    <row r="15">
      <c r="A15" s="10" t="n">
        <v>10</v>
      </c>
      <c r="B15" s="11" t="inlineStr">
        <is>
          <t>Mulching</t>
        </is>
      </c>
      <c r="C15" s="12" t="n">
        <v>85</v>
      </c>
      <c r="D15" s="12" t="n">
        <v>85</v>
      </c>
      <c r="E15" s="14" t="inlineStr">
        <is>
          <t>Deliver, spread, and edge mulch in beds</t>
        </is>
      </c>
      <c r="F15" s="15" t="inlineStr">
        <is>
          <t>Apr–Oct</t>
        </is>
      </c>
      <c r="G15" s="15" t="inlineStr">
        <is>
          <t>/yard</t>
        </is>
      </c>
    </row>
    <row r="16">
      <c r="A16" s="4" t="n">
        <v>11</v>
      </c>
      <c r="B16" s="5" t="inlineStr">
        <is>
          <t>Garden Bed Maintenance</t>
        </is>
      </c>
      <c r="C16" s="6" t="n">
        <v>75</v>
      </c>
      <c r="D16" s="7" t="n">
        <v>0.015</v>
      </c>
      <c r="E16" s="8" t="inlineStr">
        <is>
          <t>Weeding, edging, pruning, debris removal from beds</t>
        </is>
      </c>
      <c r="F16" s="9" t="inlineStr">
        <is>
          <t>Apr–Oct</t>
        </is>
      </c>
      <c r="G16" s="9" t="inlineStr">
        <is>
          <t>/sq ft</t>
        </is>
      </c>
    </row>
    <row r="17">
      <c r="A17" s="10" t="n">
        <v>12</v>
      </c>
      <c r="B17" s="11" t="inlineStr">
        <is>
          <t>Shrub/Hedge Trimming</t>
        </is>
      </c>
      <c r="C17" s="12" t="n">
        <v>25</v>
      </c>
      <c r="D17" s="12" t="n">
        <v>25</v>
      </c>
      <c r="E17" s="14" t="inlineStr">
        <is>
          <t>Shape and trim hedges, shrubs, ornamental grasses</t>
        </is>
      </c>
      <c r="F17" s="15" t="inlineStr">
        <is>
          <t>May–Sep</t>
        </is>
      </c>
      <c r="G17" s="15" t="inlineStr">
        <is>
          <t>/shrub</t>
        </is>
      </c>
    </row>
    <row r="18">
      <c r="A18" s="4" t="n">
        <v>13</v>
      </c>
      <c r="B18" s="5" t="inlineStr">
        <is>
          <t>Leaf Removal</t>
        </is>
      </c>
      <c r="C18" s="6" t="n">
        <v>150</v>
      </c>
      <c r="D18" s="7" t="n">
        <v>0.018</v>
      </c>
      <c r="E18" s="8" t="inlineStr">
        <is>
          <t>Full property leaf removal, hauled off-site</t>
        </is>
      </c>
      <c r="F18" s="9" t="inlineStr">
        <is>
          <t>Oct–Nov</t>
        </is>
      </c>
      <c r="G18" s="9" t="inlineStr">
        <is>
          <t>/sq ft</t>
        </is>
      </c>
    </row>
    <row r="19">
      <c r="A19" s="10" t="n">
        <v>14</v>
      </c>
      <c r="B19" s="11" t="inlineStr">
        <is>
          <t>Gutter Cleaning</t>
        </is>
      </c>
      <c r="C19" s="12" t="n">
        <v>135</v>
      </c>
      <c r="D19" s="16" t="n">
        <v>1.35</v>
      </c>
      <c r="E19" s="14" t="inlineStr">
        <is>
          <t>Clean gutters + flush downspouts, debris bagged</t>
        </is>
      </c>
      <c r="F19" s="15" t="inlineStr">
        <is>
          <t>Spring &amp; Fall</t>
        </is>
      </c>
      <c r="G19" s="15" t="inlineStr">
        <is>
          <t>/linear ft</t>
        </is>
      </c>
    </row>
    <row r="20">
      <c r="A20" s="4" t="n">
        <v>15</v>
      </c>
      <c r="B20" s="5" t="inlineStr">
        <is>
          <t>Gutter Guards Install</t>
        </is>
      </c>
      <c r="C20" s="6" t="n">
        <v>0</v>
      </c>
      <c r="D20" s="17" t="n">
        <v>7</v>
      </c>
      <c r="E20" s="8" t="inlineStr">
        <is>
          <t>Install mesh gutter guards on all gutters</t>
        </is>
      </c>
      <c r="F20" s="9" t="inlineStr">
        <is>
          <t>Year-round</t>
        </is>
      </c>
      <c r="G20" s="9" t="inlineStr">
        <is>
          <t>/linear ft</t>
        </is>
      </c>
    </row>
    <row r="21">
      <c r="A21" s="10" t="n">
        <v>16</v>
      </c>
      <c r="B21" s="11" t="inlineStr">
        <is>
          <t>Snow Removal (per visit)</t>
        </is>
      </c>
      <c r="C21" s="12" t="n">
        <v>65</v>
      </c>
      <c r="D21" s="13" t="n">
        <v>0.003</v>
      </c>
      <c r="E21" s="14" t="inlineStr">
        <is>
          <t>Plow driveway + shovel walks, salt included</t>
        </is>
      </c>
      <c r="F21" s="15" t="inlineStr">
        <is>
          <t>Nov–Mar</t>
        </is>
      </c>
      <c r="G21" s="15" t="inlineStr">
        <is>
          <t>/sq ft</t>
        </is>
      </c>
    </row>
    <row r="22">
      <c r="A22" s="4" t="n">
        <v>17</v>
      </c>
      <c r="B22" s="5" t="inlineStr">
        <is>
          <t>Snow Season Contract</t>
        </is>
      </c>
      <c r="C22" s="6" t="n">
        <v>500</v>
      </c>
      <c r="D22" s="7" t="n">
        <v>0.03</v>
      </c>
      <c r="E22" s="8" t="inlineStr">
        <is>
          <t>Unlimited snow removal all season, priority response</t>
        </is>
      </c>
      <c r="F22" s="9" t="inlineStr">
        <is>
          <t>Nov–Mar</t>
        </is>
      </c>
      <c r="G22" s="9" t="inlineStr">
        <is>
          <t>/sq ft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A825"/>
    <outlinePr summaryBelow="1" summaryRight="1"/>
    <pageSetUpPr/>
  </sheetPr>
  <dimension ref="B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24" customWidth="1" min="4" max="4"/>
    <col width="3" customWidth="1" min="5" max="5"/>
    <col hidden="1" width="12" customWidth="1" min="6" max="6"/>
    <col hidden="1" width="12" customWidth="1" min="7" max="7"/>
    <col hidden="1" width="12" customWidth="1" min="8" max="8"/>
    <col hidden="1" width="12" customWidth="1" min="9" max="9"/>
  </cols>
  <sheetData>
    <row r="1">
      <c r="F1" s="18" t="inlineStr">
        <is>
          <t>Service</t>
        </is>
      </c>
      <c r="G1" s="18" t="inlineStr">
        <is>
          <t>Min</t>
        </is>
      </c>
      <c r="H1" s="18" t="inlineStr">
        <is>
          <t>Rate</t>
        </is>
      </c>
      <c r="I1" s="18" t="inlineStr">
        <is>
          <t>Unit</t>
        </is>
      </c>
    </row>
    <row r="2">
      <c r="B2" s="19" t="inlineStr">
        <is>
          <t>TotalGuard Yard Care</t>
        </is>
      </c>
      <c r="F2" s="18" t="inlineStr">
        <is>
          <t>Weekly Mowing</t>
        </is>
      </c>
      <c r="G2" s="18" t="n">
        <v>55</v>
      </c>
      <c r="H2" s="18" t="n">
        <v>0.003</v>
      </c>
      <c r="I2" s="18" t="inlineStr">
        <is>
          <t>sqft</t>
        </is>
      </c>
    </row>
    <row r="3">
      <c r="B3" s="20" t="inlineStr">
        <is>
          <t>Instant Pricing Calculator</t>
        </is>
      </c>
      <c r="F3" s="18" t="inlineStr">
        <is>
          <t>Edging (add-on)</t>
        </is>
      </c>
      <c r="G3" s="18" t="n">
        <v>10</v>
      </c>
      <c r="H3" s="18" t="n">
        <v>0.001</v>
      </c>
      <c r="I3" s="18" t="inlineStr">
        <is>
          <t>sqft</t>
        </is>
      </c>
    </row>
    <row r="4">
      <c r="F4" s="18" t="inlineStr">
        <is>
          <t>Spring Cleanup</t>
        </is>
      </c>
      <c r="G4" s="18" t="n">
        <v>150</v>
      </c>
      <c r="H4" s="18" t="n">
        <v>0.018</v>
      </c>
      <c r="I4" s="18" t="inlineStr">
        <is>
          <t>sqft</t>
        </is>
      </c>
    </row>
    <row r="5">
      <c r="B5" s="21" t="inlineStr">
        <is>
          <t>ENTER DETAILS</t>
        </is>
      </c>
      <c r="C5" s="22" t="n"/>
      <c r="D5" s="23" t="n"/>
      <c r="F5" s="18" t="inlineStr">
        <is>
          <t>Fall Cleanup</t>
        </is>
      </c>
      <c r="G5" s="18" t="n">
        <v>175</v>
      </c>
      <c r="H5" s="18" t="n">
        <v>0.02</v>
      </c>
      <c r="I5" s="18" t="inlineStr">
        <is>
          <t>sqft</t>
        </is>
      </c>
    </row>
    <row r="6">
      <c r="F6" s="18" t="inlineStr">
        <is>
          <t>Fertilizer Application</t>
        </is>
      </c>
      <c r="G6" s="18" t="n">
        <v>85</v>
      </c>
      <c r="H6" s="18" t="n">
        <v>0.008</v>
      </c>
      <c r="I6" s="18" t="inlineStr">
        <is>
          <t>sqft</t>
        </is>
      </c>
    </row>
    <row r="7">
      <c r="B7" s="24" t="inlineStr">
        <is>
          <t>Select Service:</t>
        </is>
      </c>
      <c r="C7" s="25" t="inlineStr">
        <is>
          <t>Gutter Cleaning</t>
        </is>
      </c>
      <c r="F7" s="18" t="inlineStr">
        <is>
          <t>Herbicide Treatment</t>
        </is>
      </c>
      <c r="G7" s="18" t="n">
        <v>95</v>
      </c>
      <c r="H7" s="18" t="n">
        <v>0.008999999999999999</v>
      </c>
      <c r="I7" s="18" t="inlineStr">
        <is>
          <t>sqft</t>
        </is>
      </c>
    </row>
    <row r="8">
      <c r="F8" s="18" t="inlineStr">
        <is>
          <t>Core Aeration</t>
        </is>
      </c>
      <c r="G8" s="18" t="n">
        <v>125</v>
      </c>
      <c r="H8" s="18" t="n">
        <v>0.012</v>
      </c>
      <c r="I8" s="18" t="inlineStr">
        <is>
          <t>sqft</t>
        </is>
      </c>
    </row>
    <row r="9">
      <c r="B9" s="24" t="inlineStr">
        <is>
          <t>Square Footage:</t>
        </is>
      </c>
      <c r="C9" s="26" t="n">
        <v>5000</v>
      </c>
      <c r="D9" s="27" t="inlineStr">
        <is>
          <t>← For sqft-based services</t>
        </is>
      </c>
      <c r="F9" s="18" t="inlineStr">
        <is>
          <t>Overseeding</t>
        </is>
      </c>
      <c r="G9" s="18" t="n">
        <v>100</v>
      </c>
      <c r="H9" s="18" t="n">
        <v>0.01</v>
      </c>
      <c r="I9" s="18" t="inlineStr">
        <is>
          <t>sqft</t>
        </is>
      </c>
    </row>
    <row r="10">
      <c r="F10" s="18" t="inlineStr">
        <is>
          <t>Aeration + Overseed Bundle</t>
        </is>
      </c>
      <c r="G10" s="18" t="n">
        <v>200</v>
      </c>
      <c r="H10" s="18" t="n">
        <v>0.019</v>
      </c>
      <c r="I10" s="18" t="inlineStr">
        <is>
          <t>sqft</t>
        </is>
      </c>
    </row>
    <row r="11">
      <c r="B11" s="24" t="inlineStr">
        <is>
          <t>Linear Ft / Yards / Shrubs:</t>
        </is>
      </c>
      <c r="C11" s="26" t="n">
        <v>100</v>
      </c>
      <c r="D11" s="27" t="inlineStr">
        <is>
          <t>← For gutters, mulch, shrubs</t>
        </is>
      </c>
      <c r="F11" s="18" t="inlineStr">
        <is>
          <t>Mulching</t>
        </is>
      </c>
      <c r="G11" s="18" t="n">
        <v>85</v>
      </c>
      <c r="H11" s="18" t="n">
        <v>85</v>
      </c>
      <c r="I11" s="18" t="inlineStr">
        <is>
          <t>yard</t>
        </is>
      </c>
    </row>
    <row r="12">
      <c r="F12" s="18" t="inlineStr">
        <is>
          <t>Garden Bed Maintenance</t>
        </is>
      </c>
      <c r="G12" s="18" t="n">
        <v>75</v>
      </c>
      <c r="H12" s="18" t="n">
        <v>0.015</v>
      </c>
      <c r="I12" s="18" t="inlineStr">
        <is>
          <t>sqft</t>
        </is>
      </c>
    </row>
    <row r="13">
      <c r="B13" s="28" t="inlineStr">
        <is>
          <t>YOUR PRICE</t>
        </is>
      </c>
      <c r="C13" s="22" t="n"/>
      <c r="D13" s="23" t="n"/>
      <c r="F13" s="18" t="inlineStr">
        <is>
          <t>Shrub/Hedge Trimming</t>
        </is>
      </c>
      <c r="G13" s="18" t="n">
        <v>25</v>
      </c>
      <c r="H13" s="18" t="n">
        <v>25</v>
      </c>
      <c r="I13" s="18" t="inlineStr">
        <is>
          <t>shrub</t>
        </is>
      </c>
    </row>
    <row r="14">
      <c r="F14" s="18" t="inlineStr">
        <is>
          <t>Leaf Removal</t>
        </is>
      </c>
      <c r="G14" s="18" t="n">
        <v>150</v>
      </c>
      <c r="H14" s="18" t="n">
        <v>0.018</v>
      </c>
      <c r="I14" s="18" t="inlineStr">
        <is>
          <t>sqft</t>
        </is>
      </c>
    </row>
    <row r="15">
      <c r="B15" s="29">
        <f>F24</f>
        <v/>
      </c>
      <c r="F15" s="18" t="inlineStr">
        <is>
          <t>Gutter Cleaning</t>
        </is>
      </c>
      <c r="G15" s="18" t="n">
        <v>135</v>
      </c>
      <c r="H15" s="18" t="n">
        <v>1.35</v>
      </c>
      <c r="I15" s="18" t="inlineStr">
        <is>
          <t>linft</t>
        </is>
      </c>
    </row>
    <row r="16">
      <c r="B16" s="30" t="inlineStr">
        <is>
          <t>per service visit</t>
        </is>
      </c>
      <c r="F16" s="18" t="inlineStr">
        <is>
          <t>Gutter Guards Install</t>
        </is>
      </c>
      <c r="G16" s="18" t="n">
        <v>0</v>
      </c>
      <c r="H16" s="18" t="n">
        <v>7</v>
      </c>
      <c r="I16" s="18" t="inlineStr">
        <is>
          <t>linft</t>
        </is>
      </c>
    </row>
    <row r="17">
      <c r="F17" s="18" t="inlineStr">
        <is>
          <t>Snow Removal (per visit)</t>
        </is>
      </c>
      <c r="G17" s="18" t="n">
        <v>65</v>
      </c>
      <c r="H17" s="18" t="n">
        <v>0.003</v>
      </c>
      <c r="I17" s="18" t="inlineStr">
        <is>
          <t>sqft</t>
        </is>
      </c>
    </row>
    <row r="18">
      <c r="B18" s="31" t="inlineStr">
        <is>
          <t>PRICE BREAKDOWN</t>
        </is>
      </c>
      <c r="F18" s="18" t="inlineStr">
        <is>
          <t>Snow Season Contract</t>
        </is>
      </c>
      <c r="G18" s="18" t="n">
        <v>500</v>
      </c>
      <c r="H18" s="18" t="n">
        <v>0.03</v>
      </c>
      <c r="I18" s="18" t="inlineStr">
        <is>
          <t>sqft</t>
        </is>
      </c>
    </row>
    <row r="19">
      <c r="B19" s="32" t="inlineStr">
        <is>
          <t>Service:</t>
        </is>
      </c>
      <c r="C19" s="33">
        <f>C7</f>
        <v/>
      </c>
    </row>
    <row r="20">
      <c r="B20" s="32" t="inlineStr">
        <is>
          <t>Unit Type:</t>
        </is>
      </c>
      <c r="C20" s="33">
        <f>F22</f>
        <v/>
      </c>
      <c r="F20" s="18">
        <f>VLOOKUP(C7,F2:I18,2,FALSE)</f>
        <v/>
      </c>
    </row>
    <row r="21">
      <c r="B21" s="32" t="inlineStr">
        <is>
          <t>Quantity Used:</t>
        </is>
      </c>
      <c r="C21" s="34">
        <f>F23</f>
        <v/>
      </c>
      <c r="F21" s="18">
        <f>VLOOKUP(C7,F2:I18,3,FALSE)</f>
        <v/>
      </c>
    </row>
    <row r="22">
      <c r="B22" s="32" t="inlineStr">
        <is>
          <t>Minimum Price:</t>
        </is>
      </c>
      <c r="C22" s="35">
        <f>F20</f>
        <v/>
      </c>
      <c r="F22" s="18">
        <f>VLOOKUP(C7,F2:I18,4,FALSE)</f>
        <v/>
      </c>
    </row>
    <row r="23">
      <c r="B23" s="32" t="inlineStr">
        <is>
          <t>Per Unit Rate:</t>
        </is>
      </c>
      <c r="C23" s="36">
        <f>F21</f>
        <v/>
      </c>
      <c r="F23" s="18">
        <f>IF(F22="sqft",C9,C11)</f>
        <v/>
      </c>
    </row>
    <row r="24">
      <c r="B24" s="32" t="inlineStr">
        <is>
          <t>Qty × Rate:</t>
        </is>
      </c>
      <c r="C24" s="37">
        <f>F23*F21</f>
        <v/>
      </c>
      <c r="F24" s="18">
        <f>MAX(F20,F23*F21)</f>
        <v/>
      </c>
    </row>
    <row r="25">
      <c r="B25" s="32" t="inlineStr">
        <is>
          <t>Final Price (max of min vs calc):</t>
        </is>
      </c>
      <c r="C25" s="35">
        <f>F24</f>
        <v/>
      </c>
    </row>
    <row r="27">
      <c r="B27" s="38" t="inlineStr">
        <is>
          <t>How it works:</t>
        </is>
      </c>
    </row>
    <row r="28">
      <c r="B28" s="27" t="inlineStr">
        <is>
          <t>• sqft services (mowing, cleanup, etc): enter Square Footage → price = MAX(minimum, sqft × rate)</t>
        </is>
      </c>
    </row>
    <row r="29">
      <c r="B29" s="27" t="inlineStr">
        <is>
          <t>• Gutter services: enter Linear Feet in 2nd field → price = MAX(minimum, linft × rate)</t>
        </is>
      </c>
    </row>
    <row r="30">
      <c r="B30" s="27" t="inlineStr">
        <is>
          <t>• Mulching: enter Yards in 2nd field → price = MAX($85, yards × $85/yard)</t>
        </is>
      </c>
    </row>
    <row r="31">
      <c r="B31" s="27" t="inlineStr">
        <is>
          <t>• Shrub Trimming: enter # of shrubs in 2nd field → price = MAX($25, shrubs × $25/shrub)</t>
        </is>
      </c>
    </row>
    <row r="32">
      <c r="B32" s="27" t="inlineStr">
        <is>
          <t>• Blue cells = your inputs. Price updates instantly.</t>
        </is>
      </c>
    </row>
    <row r="34">
      <c r="B34" s="39" t="inlineStr">
        <is>
          <t>QUICK REFERENCE — Common Job Sizes</t>
        </is>
      </c>
      <c r="C34" s="22" t="n"/>
      <c r="D34" s="23" t="n"/>
    </row>
    <row r="35">
      <c r="B35" s="40" t="inlineStr">
        <is>
          <t>Scenario</t>
        </is>
      </c>
      <c r="C35" s="40" t="inlineStr">
        <is>
          <t>Input</t>
        </is>
      </c>
      <c r="D35" s="40" t="inlineStr">
        <is>
          <t>Price</t>
        </is>
      </c>
    </row>
    <row r="36">
      <c r="B36" s="41" t="inlineStr">
        <is>
          <t>Mowing — small (3,000 sqft)</t>
        </is>
      </c>
      <c r="C36" s="9" t="inlineStr">
        <is>
          <t>3,000 sqft</t>
        </is>
      </c>
      <c r="D36" s="6">
        <f>MAX(55,3000*0.003)</f>
        <v/>
      </c>
    </row>
    <row r="37">
      <c r="B37" s="42" t="inlineStr">
        <is>
          <t>Mowing — avg (8,000 sqft)</t>
        </is>
      </c>
      <c r="C37" s="15" t="inlineStr">
        <is>
          <t>8,000 sqft</t>
        </is>
      </c>
      <c r="D37" s="12">
        <f>MAX(55,8000*0.003)</f>
        <v/>
      </c>
    </row>
    <row r="38">
      <c r="B38" s="41" t="inlineStr">
        <is>
          <t>Mowing — large (15,000 sqft)</t>
        </is>
      </c>
      <c r="C38" s="9" t="inlineStr">
        <is>
          <t>15,000 sqft</t>
        </is>
      </c>
      <c r="D38" s="6">
        <f>MAX(55,15000*0.003)</f>
        <v/>
      </c>
    </row>
    <row r="39">
      <c r="B39" s="42" t="inlineStr">
        <is>
          <t>Gutter Cleaning — 80 linft</t>
        </is>
      </c>
      <c r="C39" s="15" t="inlineStr">
        <is>
          <t>80 linft</t>
        </is>
      </c>
      <c r="D39" s="12">
        <f>MAX(135,80*1.35)</f>
        <v/>
      </c>
    </row>
    <row r="40">
      <c r="B40" s="41" t="inlineStr">
        <is>
          <t>Gutter Cleaning — 150 linft</t>
        </is>
      </c>
      <c r="C40" s="9" t="inlineStr">
        <is>
          <t>150 linft</t>
        </is>
      </c>
      <c r="D40" s="6">
        <f>MAX(135,150*1.35)</f>
        <v/>
      </c>
    </row>
    <row r="41">
      <c r="B41" s="42" t="inlineStr">
        <is>
          <t>Gutter Cleaning — 250 linft</t>
        </is>
      </c>
      <c r="C41" s="15" t="inlineStr">
        <is>
          <t>250 linft</t>
        </is>
      </c>
      <c r="D41" s="12">
        <f>MAX(135,250*1.35)</f>
        <v/>
      </c>
    </row>
    <row r="42">
      <c r="B42" s="41" t="inlineStr">
        <is>
          <t>Mulching — 3 yards</t>
        </is>
      </c>
      <c r="C42" s="9" t="inlineStr">
        <is>
          <t>3 yards</t>
        </is>
      </c>
      <c r="D42" s="6">
        <f>MAX(85,3*85)</f>
        <v/>
      </c>
    </row>
    <row r="43">
      <c r="B43" s="42" t="inlineStr">
        <is>
          <t>Mulching — 8 yards</t>
        </is>
      </c>
      <c r="C43" s="15" t="inlineStr">
        <is>
          <t>8 yards</t>
        </is>
      </c>
      <c r="D43" s="12">
        <f>MAX(85,8*85)</f>
        <v/>
      </c>
    </row>
    <row r="44">
      <c r="B44" s="41" t="inlineStr">
        <is>
          <t>Shrub Trimming — 5 shrubs</t>
        </is>
      </c>
      <c r="C44" s="9" t="inlineStr">
        <is>
          <t>5 shrubs</t>
        </is>
      </c>
      <c r="D44" s="6">
        <f>MAX(25,5*25)</f>
        <v/>
      </c>
    </row>
    <row r="45">
      <c r="B45" s="42" t="inlineStr">
        <is>
          <t>Shrub Trimming — 15 shrubs</t>
        </is>
      </c>
      <c r="C45" s="15" t="inlineStr">
        <is>
          <t>15 shrubs</t>
        </is>
      </c>
      <c r="D45" s="12">
        <f>MAX(25,15*25)</f>
        <v/>
      </c>
    </row>
    <row r="46">
      <c r="B46" s="41" t="inlineStr">
        <is>
          <t>Spring Cleanup — 10,000 sqft</t>
        </is>
      </c>
      <c r="C46" s="9" t="inlineStr">
        <is>
          <t>10,000 sqft</t>
        </is>
      </c>
      <c r="D46" s="6">
        <f>MAX(150,10000*0.018)</f>
        <v/>
      </c>
    </row>
    <row r="47">
      <c r="B47" s="42" t="inlineStr">
        <is>
          <t>Aeration + Overseed — 8,000 sqft</t>
        </is>
      </c>
      <c r="C47" s="15" t="inlineStr">
        <is>
          <t>8,000 sqft</t>
        </is>
      </c>
      <c r="D47" s="12">
        <f>MAX(200,8000*0.019)</f>
        <v/>
      </c>
    </row>
  </sheetData>
  <mergeCells count="13">
    <mergeCell ref="B28:D28"/>
    <mergeCell ref="B3:D3"/>
    <mergeCell ref="B5:D5"/>
    <mergeCell ref="B29:D29"/>
    <mergeCell ref="B31:D31"/>
    <mergeCell ref="B32:D32"/>
    <mergeCell ref="B16:D16"/>
    <mergeCell ref="B18:D18"/>
    <mergeCell ref="B13:D13"/>
    <mergeCell ref="B30:D30"/>
    <mergeCell ref="B15:D15"/>
    <mergeCell ref="B2:D2"/>
    <mergeCell ref="B34:D34"/>
  </mergeCells>
  <dataValidations count="1">
    <dataValidation sqref="C7" showDropDown="0" showInputMessage="0" showErrorMessage="0" allowBlank="0" prompt="Choose a service" type="list">
      <formula1>"Weekly Mowing,Edging (add-on),Spring Cleanup,Fall Cleanup,Fertilizer Application,Herbicide Treatment,Core Aeration,Overseeding,Aeration + Overseed Bundle,Mulching,Garden Bed Maintenance,Shrub/Hedge Trimming,Leaf Removal,Gutter Cleaning,Gutter Guards Install,Snow Removal (per visit),Snow Season Contract"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2026-03-11T04:09:41Z</dcterms:created>
  <dcterms:modified xsi:type="dcterms:W3CDTF">2026-03-11T04:09:41Z</dcterms:modified>
</cp:coreProperties>
</file>