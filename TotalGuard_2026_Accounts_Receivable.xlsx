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utstanding Invoices" sheetId="1" state="visible" r:id="rId1"/>
    <sheet name="Aging Summary" sheetId="2" state="visible" r:id="rId2"/>
  </sheets>
  <definedNames>
    <definedName name="_xlnm.Print_Titles" localSheetId="0">'Outstanding Invoices'!$1:$2</definedName>
    <definedName name="_xlnm.Print_Titles" localSheetId="1">'Aging Summary'!$1:$2</definedName>
  </definedNames>
  <calcPr calcId="124519" fullCalcOnLoad="1"/>
</workbook>
</file>

<file path=xl/styles.xml><?xml version="1.0" encoding="utf-8"?>
<styleSheet xmlns="http://schemas.openxmlformats.org/spreadsheetml/2006/main">
  <numFmts count="3">
    <numFmt numFmtId="164" formatCode="MM/DD/YYYY"/>
    <numFmt numFmtId="165" formatCode="$#,##0.00"/>
    <numFmt numFmtId="166" formatCode="0.0%"/>
  </numFmts>
  <fonts count="7">
    <font>
      <name val="Calibri"/>
      <family val="2"/>
      <color theme="1"/>
      <sz val="11"/>
      <scheme val="minor"/>
    </font>
    <font>
      <name val="Arial"/>
      <b val="1"/>
      <color rgb="001B4332"/>
      <sz val="16"/>
    </font>
    <font>
      <name val="Arial"/>
      <b val="1"/>
      <color rgb="00FFFFFF"/>
      <sz val="11"/>
    </font>
    <font>
      <name val="Arial"/>
      <color rgb="00000000"/>
      <sz val="10"/>
    </font>
    <font>
      <name val="Arial"/>
      <b val="1"/>
      <color rgb="001B4332"/>
      <sz val="12"/>
    </font>
    <font>
      <name val="Arial"/>
      <b val="1"/>
      <color rgb="00000000"/>
      <sz val="10"/>
    </font>
    <font>
      <name val="Arial"/>
      <b val="1"/>
      <color rgb="001B4332"/>
      <sz val="11"/>
    </font>
  </fonts>
  <fills count="7">
    <fill>
      <patternFill/>
    </fill>
    <fill>
      <patternFill patternType="gray125"/>
    </fill>
    <fill>
      <patternFill patternType="solid">
        <fgColor rgb="00D8F3DC"/>
      </patternFill>
    </fill>
    <fill>
      <patternFill patternType="solid">
        <fgColor rgb="001B4332"/>
      </patternFill>
    </fill>
    <fill>
      <patternFill patternType="solid">
        <fgColor rgb="00FFFFFF"/>
      </patternFill>
    </fill>
    <fill>
      <patternFill patternType="solid">
        <fgColor rgb="00F8F9FA"/>
      </patternFill>
    </fill>
    <fill>
      <patternFill patternType="solid">
        <fgColor rgb="0095D5B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0" fillId="2" borderId="0" pivotButton="0" quotePrefix="0" xfId="0"/>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164" fontId="3" fillId="4" borderId="1" applyAlignment="1" pivotButton="0" quotePrefix="0" xfId="0">
      <alignment horizontal="center" vertical="center" wrapText="1"/>
    </xf>
    <xf numFmtId="165" fontId="3" fillId="4" borderId="1" applyAlignment="1" pivotButton="0" quotePrefix="0" xfId="0">
      <alignment horizontal="center" vertical="center" wrapText="1"/>
    </xf>
    <xf numFmtId="1"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164" fontId="3" fillId="5" borderId="1" applyAlignment="1" pivotButton="0" quotePrefix="0" xfId="0">
      <alignment horizontal="center" vertical="center" wrapText="1"/>
    </xf>
    <xf numFmtId="165" fontId="3" fillId="5" borderId="1" applyAlignment="1" pivotButton="0" quotePrefix="0" xfId="0">
      <alignment horizontal="center" vertical="center" wrapText="1"/>
    </xf>
    <xf numFmtId="1" fontId="3"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0" fillId="6" borderId="1" pivotButton="0" quotePrefix="0" xfId="0"/>
    <xf numFmtId="165" fontId="4" fillId="6" borderId="1" applyAlignment="1" pivotButton="0" quotePrefix="0" xfId="0">
      <alignment horizontal="center" vertical="center" wrapText="1"/>
    </xf>
    <xf numFmtId="0" fontId="5" fillId="4" borderId="1" applyAlignment="1" pivotButton="0" quotePrefix="0" xfId="0">
      <alignment horizontal="left" vertical="center" wrapText="1"/>
    </xf>
    <xf numFmtId="166" fontId="3" fillId="4" borderId="1" applyAlignment="1" pivotButton="0" quotePrefix="0" xfId="0">
      <alignment horizontal="center" vertical="center" wrapText="1"/>
    </xf>
    <xf numFmtId="0" fontId="5" fillId="5" borderId="1" applyAlignment="1" pivotButton="0" quotePrefix="0" xfId="0">
      <alignment horizontal="left" vertical="center" wrapText="1"/>
    </xf>
    <xf numFmtId="166" fontId="3" fillId="5" borderId="1" applyAlignment="1" pivotButton="0" quotePrefix="0" xfId="0">
      <alignment horizontal="center" vertical="center" wrapText="1"/>
    </xf>
    <xf numFmtId="0" fontId="6" fillId="6" borderId="1" applyAlignment="1" pivotButton="0" quotePrefix="0" xfId="0">
      <alignment horizontal="left" vertical="center" wrapText="1"/>
    </xf>
    <xf numFmtId="1" fontId="6" fillId="6" borderId="1" applyAlignment="1" pivotButton="0" quotePrefix="0" xfId="0">
      <alignment horizontal="center" vertical="center" wrapText="1"/>
    </xf>
    <xf numFmtId="165" fontId="6" fillId="6" borderId="1" applyAlignment="1" pivotButton="0" quotePrefix="0" xfId="0">
      <alignment horizontal="center" vertical="center" wrapText="1"/>
    </xf>
    <xf numFmtId="166" fontId="6" fillId="6" borderId="1" applyAlignment="1" pivotButton="0" quotePrefix="0" xfId="0">
      <alignment horizontal="center" vertical="center" wrapText="1"/>
    </xf>
    <xf numFmtId="0" fontId="0" fillId="0" borderId="1" pivotButton="0" quotePrefix="0" xfId="0"/>
    <xf numFmtId="0" fontId="0" fillId="4" borderId="1" pivotButton="0" quotePrefix="0" xfId="0"/>
    <xf numFmtId="0" fontId="0" fillId="5" borderId="1" pivotButton="0" quotePrefix="0" xfId="0"/>
  </cellXfs>
  <cellStyles count="1">
    <cellStyle name="Normal" xfId="0" builtinId="0" hidden="0"/>
  </cellStyles>
  <dxfs count="8">
    <dxf>
      <fill>
        <patternFill patternType="solid">
          <fgColor rgb="00D4EDDA"/>
        </patternFill>
      </fill>
    </dxf>
    <dxf>
      <fill>
        <patternFill patternType="solid">
          <fgColor rgb="00FFF3CD"/>
        </patternFill>
      </fill>
    </dxf>
    <dxf>
      <fill>
        <patternFill patternType="solid">
          <fgColor rgb="00FFE0B2"/>
        </patternFill>
      </fill>
    </dxf>
    <dxf>
      <fill>
        <patternFill patternType="solid">
          <fgColor rgb="00F8D7DA"/>
        </patternFill>
      </fill>
    </dxf>
    <dxf>
      <fill>
        <patternFill patternType="solid">
          <fgColor rgb="00CCE5FF"/>
        </patternFill>
      </fill>
    </dxf>
    <dxf>
      <fill>
        <patternFill patternType="solid">
          <fgColor rgb="00E0E0E0"/>
        </patternFill>
      </fill>
    </dxf>
    <dxf>
      <font>
        <name val="Arial"/>
        <color rgb="00CC0000"/>
        <sz val="10"/>
      </font>
    </dxf>
    <dxf>
      <font>
        <name val="Arial"/>
        <color rgb="00E65100"/>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4332"/>
    <outlinePr summaryBelow="1" summaryRight="1"/>
    <pageSetUpPr fitToPage="1"/>
  </sheetPr>
  <dimension ref="A1:L203"/>
  <sheetViews>
    <sheetView workbookViewId="0">
      <pane ySplit="2" topLeftCell="A3" activePane="bottomLeft" state="frozen"/>
      <selection pane="bottomLeft" activeCell="A1" sqref="A1"/>
    </sheetView>
  </sheetViews>
  <sheetFormatPr baseColWidth="8" defaultRowHeight="15"/>
  <cols>
    <col width="10" customWidth="1" min="1" max="1"/>
    <col width="24" customWidth="1" min="2" max="2"/>
    <col width="20"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24" customWidth="1" min="12" max="12"/>
  </cols>
  <sheetData>
    <row r="1">
      <c r="A1" s="1" t="inlineStr">
        <is>
          <t>TOTALGUARD YARD CARE — 2026 ACCOUNTS RECEIVABLE</t>
        </is>
      </c>
      <c r="B1" s="2" t="n"/>
      <c r="C1" s="2" t="n"/>
      <c r="D1" s="2" t="n"/>
      <c r="E1" s="2" t="n"/>
      <c r="F1" s="2" t="n"/>
      <c r="G1" s="2" t="n"/>
      <c r="H1" s="2" t="n"/>
      <c r="I1" s="2" t="n"/>
      <c r="J1" s="2" t="n"/>
      <c r="K1" s="2" t="n"/>
      <c r="L1" s="2" t="n"/>
    </row>
    <row r="2">
      <c r="A2" s="3" t="inlineStr">
        <is>
          <t>Invoice #</t>
        </is>
      </c>
      <c r="B2" s="3" t="inlineStr">
        <is>
          <t>Customer</t>
        </is>
      </c>
      <c r="C2" s="3" t="inlineStr">
        <is>
          <t>Service</t>
        </is>
      </c>
      <c r="D2" s="3" t="inlineStr">
        <is>
          <t>Invoice Date</t>
        </is>
      </c>
      <c r="E2" s="3" t="inlineStr">
        <is>
          <t>Due Date</t>
        </is>
      </c>
      <c r="F2" s="3" t="inlineStr">
        <is>
          <t>Amount</t>
        </is>
      </c>
      <c r="G2" s="3" t="inlineStr">
        <is>
          <t>Amount Paid</t>
        </is>
      </c>
      <c r="H2" s="3" t="inlineStr">
        <is>
          <t>Balance Due</t>
        </is>
      </c>
      <c r="I2" s="3" t="inlineStr">
        <is>
          <t>Days Outstanding</t>
        </is>
      </c>
      <c r="J2" s="3" t="inlineStr">
        <is>
          <t>Status</t>
        </is>
      </c>
      <c r="K2" s="3" t="inlineStr">
        <is>
          <t>Last Follow-up</t>
        </is>
      </c>
      <c r="L2" s="3" t="inlineStr">
        <is>
          <t>Notes</t>
        </is>
      </c>
    </row>
    <row r="3">
      <c r="A3" s="4" t="n">
        <v>1</v>
      </c>
      <c r="B3" s="5" t="n"/>
      <c r="C3" s="4" t="n"/>
      <c r="D3" s="6" t="n"/>
      <c r="E3" s="6" t="n"/>
      <c r="F3" s="7" t="n"/>
      <c r="G3" s="7" t="n"/>
      <c r="H3" s="7">
        <f>F3-G3</f>
        <v/>
      </c>
      <c r="I3" s="8">
        <f>IF(AND(D3&lt;&gt;"",H3&gt;0),TODAY()-D3,"")</f>
        <v/>
      </c>
      <c r="J3" s="4" t="n"/>
      <c r="K3" s="6" t="n"/>
      <c r="L3" s="5" t="n"/>
    </row>
    <row r="4">
      <c r="A4" s="9" t="n">
        <v>2</v>
      </c>
      <c r="B4" s="10" t="n"/>
      <c r="C4" s="9" t="n"/>
      <c r="D4" s="11" t="n"/>
      <c r="E4" s="11" t="n"/>
      <c r="F4" s="12" t="n"/>
      <c r="G4" s="12" t="n"/>
      <c r="H4" s="12">
        <f>F4-G4</f>
        <v/>
      </c>
      <c r="I4" s="13">
        <f>IF(AND(D4&lt;&gt;"",H4&gt;0),TODAY()-D4,"")</f>
        <v/>
      </c>
      <c r="J4" s="9" t="n"/>
      <c r="K4" s="11" t="n"/>
      <c r="L4" s="10" t="n"/>
    </row>
    <row r="5">
      <c r="A5" s="4" t="n">
        <v>3</v>
      </c>
      <c r="B5" s="5" t="n"/>
      <c r="C5" s="4" t="n"/>
      <c r="D5" s="6" t="n"/>
      <c r="E5" s="6" t="n"/>
      <c r="F5" s="7" t="n"/>
      <c r="G5" s="7" t="n"/>
      <c r="H5" s="7">
        <f>F5-G5</f>
        <v/>
      </c>
      <c r="I5" s="8">
        <f>IF(AND(D5&lt;&gt;"",H5&gt;0),TODAY()-D5,"")</f>
        <v/>
      </c>
      <c r="J5" s="4" t="n"/>
      <c r="K5" s="6" t="n"/>
      <c r="L5" s="5" t="n"/>
    </row>
    <row r="6">
      <c r="A6" s="9" t="n">
        <v>4</v>
      </c>
      <c r="B6" s="10" t="n"/>
      <c r="C6" s="9" t="n"/>
      <c r="D6" s="11" t="n"/>
      <c r="E6" s="11" t="n"/>
      <c r="F6" s="12" t="n"/>
      <c r="G6" s="12" t="n"/>
      <c r="H6" s="12">
        <f>F6-G6</f>
        <v/>
      </c>
      <c r="I6" s="13">
        <f>IF(AND(D6&lt;&gt;"",H6&gt;0),TODAY()-D6,"")</f>
        <v/>
      </c>
      <c r="J6" s="9" t="n"/>
      <c r="K6" s="11" t="n"/>
      <c r="L6" s="10" t="n"/>
    </row>
    <row r="7">
      <c r="A7" s="4" t="n">
        <v>5</v>
      </c>
      <c r="B7" s="5" t="n"/>
      <c r="C7" s="4" t="n"/>
      <c r="D7" s="6" t="n"/>
      <c r="E7" s="6" t="n"/>
      <c r="F7" s="7" t="n"/>
      <c r="G7" s="7" t="n"/>
      <c r="H7" s="7">
        <f>F7-G7</f>
        <v/>
      </c>
      <c r="I7" s="8">
        <f>IF(AND(D7&lt;&gt;"",H7&gt;0),TODAY()-D7,"")</f>
        <v/>
      </c>
      <c r="J7" s="4" t="n"/>
      <c r="K7" s="6" t="n"/>
      <c r="L7" s="5" t="n"/>
    </row>
    <row r="8">
      <c r="A8" s="9" t="n">
        <v>6</v>
      </c>
      <c r="B8" s="10" t="n"/>
      <c r="C8" s="9" t="n"/>
      <c r="D8" s="11" t="n"/>
      <c r="E8" s="11" t="n"/>
      <c r="F8" s="12" t="n"/>
      <c r="G8" s="12" t="n"/>
      <c r="H8" s="12">
        <f>F8-G8</f>
        <v/>
      </c>
      <c r="I8" s="13">
        <f>IF(AND(D8&lt;&gt;"",H8&gt;0),TODAY()-D8,"")</f>
        <v/>
      </c>
      <c r="J8" s="9" t="n"/>
      <c r="K8" s="11" t="n"/>
      <c r="L8" s="10" t="n"/>
    </row>
    <row r="9">
      <c r="A9" s="4" t="n">
        <v>7</v>
      </c>
      <c r="B9" s="5" t="n"/>
      <c r="C9" s="4" t="n"/>
      <c r="D9" s="6" t="n"/>
      <c r="E9" s="6" t="n"/>
      <c r="F9" s="7" t="n"/>
      <c r="G9" s="7" t="n"/>
      <c r="H9" s="7">
        <f>F9-G9</f>
        <v/>
      </c>
      <c r="I9" s="8">
        <f>IF(AND(D9&lt;&gt;"",H9&gt;0),TODAY()-D9,"")</f>
        <v/>
      </c>
      <c r="J9" s="4" t="n"/>
      <c r="K9" s="6" t="n"/>
      <c r="L9" s="5" t="n"/>
    </row>
    <row r="10">
      <c r="A10" s="9" t="n">
        <v>8</v>
      </c>
      <c r="B10" s="10" t="n"/>
      <c r="C10" s="9" t="n"/>
      <c r="D10" s="11" t="n"/>
      <c r="E10" s="11" t="n"/>
      <c r="F10" s="12" t="n"/>
      <c r="G10" s="12" t="n"/>
      <c r="H10" s="12">
        <f>F10-G10</f>
        <v/>
      </c>
      <c r="I10" s="13">
        <f>IF(AND(D10&lt;&gt;"",H10&gt;0),TODAY()-D10,"")</f>
        <v/>
      </c>
      <c r="J10" s="9" t="n"/>
      <c r="K10" s="11" t="n"/>
      <c r="L10" s="10" t="n"/>
    </row>
    <row r="11">
      <c r="A11" s="4" t="n">
        <v>9</v>
      </c>
      <c r="B11" s="5" t="n"/>
      <c r="C11" s="4" t="n"/>
      <c r="D11" s="6" t="n"/>
      <c r="E11" s="6" t="n"/>
      <c r="F11" s="7" t="n"/>
      <c r="G11" s="7" t="n"/>
      <c r="H11" s="7">
        <f>F11-G11</f>
        <v/>
      </c>
      <c r="I11" s="8">
        <f>IF(AND(D11&lt;&gt;"",H11&gt;0),TODAY()-D11,"")</f>
        <v/>
      </c>
      <c r="J11" s="4" t="n"/>
      <c r="K11" s="6" t="n"/>
      <c r="L11" s="5" t="n"/>
    </row>
    <row r="12">
      <c r="A12" s="9" t="n">
        <v>10</v>
      </c>
      <c r="B12" s="10" t="n"/>
      <c r="C12" s="9" t="n"/>
      <c r="D12" s="11" t="n"/>
      <c r="E12" s="11" t="n"/>
      <c r="F12" s="12" t="n"/>
      <c r="G12" s="12" t="n"/>
      <c r="H12" s="12">
        <f>F12-G12</f>
        <v/>
      </c>
      <c r="I12" s="13">
        <f>IF(AND(D12&lt;&gt;"",H12&gt;0),TODAY()-D12,"")</f>
        <v/>
      </c>
      <c r="J12" s="9" t="n"/>
      <c r="K12" s="11" t="n"/>
      <c r="L12" s="10" t="n"/>
    </row>
    <row r="13">
      <c r="A13" s="4" t="n">
        <v>11</v>
      </c>
      <c r="B13" s="5" t="n"/>
      <c r="C13" s="4" t="n"/>
      <c r="D13" s="6" t="n"/>
      <c r="E13" s="6" t="n"/>
      <c r="F13" s="7" t="n"/>
      <c r="G13" s="7" t="n"/>
      <c r="H13" s="7">
        <f>F13-G13</f>
        <v/>
      </c>
      <c r="I13" s="8">
        <f>IF(AND(D13&lt;&gt;"",H13&gt;0),TODAY()-D13,"")</f>
        <v/>
      </c>
      <c r="J13" s="4" t="n"/>
      <c r="K13" s="6" t="n"/>
      <c r="L13" s="5" t="n"/>
    </row>
    <row r="14">
      <c r="A14" s="9" t="n">
        <v>12</v>
      </c>
      <c r="B14" s="10" t="n"/>
      <c r="C14" s="9" t="n"/>
      <c r="D14" s="11" t="n"/>
      <c r="E14" s="11" t="n"/>
      <c r="F14" s="12" t="n"/>
      <c r="G14" s="12" t="n"/>
      <c r="H14" s="12">
        <f>F14-G14</f>
        <v/>
      </c>
      <c r="I14" s="13">
        <f>IF(AND(D14&lt;&gt;"",H14&gt;0),TODAY()-D14,"")</f>
        <v/>
      </c>
      <c r="J14" s="9" t="n"/>
      <c r="K14" s="11" t="n"/>
      <c r="L14" s="10" t="n"/>
    </row>
    <row r="15">
      <c r="A15" s="4" t="n">
        <v>13</v>
      </c>
      <c r="B15" s="5" t="n"/>
      <c r="C15" s="4" t="n"/>
      <c r="D15" s="6" t="n"/>
      <c r="E15" s="6" t="n"/>
      <c r="F15" s="7" t="n"/>
      <c r="G15" s="7" t="n"/>
      <c r="H15" s="7">
        <f>F15-G15</f>
        <v/>
      </c>
      <c r="I15" s="8">
        <f>IF(AND(D15&lt;&gt;"",H15&gt;0),TODAY()-D15,"")</f>
        <v/>
      </c>
      <c r="J15" s="4" t="n"/>
      <c r="K15" s="6" t="n"/>
      <c r="L15" s="5" t="n"/>
    </row>
    <row r="16">
      <c r="A16" s="9" t="n">
        <v>14</v>
      </c>
      <c r="B16" s="10" t="n"/>
      <c r="C16" s="9" t="n"/>
      <c r="D16" s="11" t="n"/>
      <c r="E16" s="11" t="n"/>
      <c r="F16" s="12" t="n"/>
      <c r="G16" s="12" t="n"/>
      <c r="H16" s="12">
        <f>F16-G16</f>
        <v/>
      </c>
      <c r="I16" s="13">
        <f>IF(AND(D16&lt;&gt;"",H16&gt;0),TODAY()-D16,"")</f>
        <v/>
      </c>
      <c r="J16" s="9" t="n"/>
      <c r="K16" s="11" t="n"/>
      <c r="L16" s="10" t="n"/>
    </row>
    <row r="17">
      <c r="A17" s="4" t="n">
        <v>15</v>
      </c>
      <c r="B17" s="5" t="n"/>
      <c r="C17" s="4" t="n"/>
      <c r="D17" s="6" t="n"/>
      <c r="E17" s="6" t="n"/>
      <c r="F17" s="7" t="n"/>
      <c r="G17" s="7" t="n"/>
      <c r="H17" s="7">
        <f>F17-G17</f>
        <v/>
      </c>
      <c r="I17" s="8">
        <f>IF(AND(D17&lt;&gt;"",H17&gt;0),TODAY()-D17,"")</f>
        <v/>
      </c>
      <c r="J17" s="4" t="n"/>
      <c r="K17" s="6" t="n"/>
      <c r="L17" s="5" t="n"/>
    </row>
    <row r="18">
      <c r="A18" s="9" t="n">
        <v>16</v>
      </c>
      <c r="B18" s="10" t="n"/>
      <c r="C18" s="9" t="n"/>
      <c r="D18" s="11" t="n"/>
      <c r="E18" s="11" t="n"/>
      <c r="F18" s="12" t="n"/>
      <c r="G18" s="12" t="n"/>
      <c r="H18" s="12">
        <f>F18-G18</f>
        <v/>
      </c>
      <c r="I18" s="13">
        <f>IF(AND(D18&lt;&gt;"",H18&gt;0),TODAY()-D18,"")</f>
        <v/>
      </c>
      <c r="J18" s="9" t="n"/>
      <c r="K18" s="11" t="n"/>
      <c r="L18" s="10" t="n"/>
    </row>
    <row r="19">
      <c r="A19" s="4" t="n">
        <v>17</v>
      </c>
      <c r="B19" s="5" t="n"/>
      <c r="C19" s="4" t="n"/>
      <c r="D19" s="6" t="n"/>
      <c r="E19" s="6" t="n"/>
      <c r="F19" s="7" t="n"/>
      <c r="G19" s="7" t="n"/>
      <c r="H19" s="7">
        <f>F19-G19</f>
        <v/>
      </c>
      <c r="I19" s="8">
        <f>IF(AND(D19&lt;&gt;"",H19&gt;0),TODAY()-D19,"")</f>
        <v/>
      </c>
      <c r="J19" s="4" t="n"/>
      <c r="K19" s="6" t="n"/>
      <c r="L19" s="5" t="n"/>
    </row>
    <row r="20">
      <c r="A20" s="9" t="n">
        <v>18</v>
      </c>
      <c r="B20" s="10" t="n"/>
      <c r="C20" s="9" t="n"/>
      <c r="D20" s="11" t="n"/>
      <c r="E20" s="11" t="n"/>
      <c r="F20" s="12" t="n"/>
      <c r="G20" s="12" t="n"/>
      <c r="H20" s="12">
        <f>F20-G20</f>
        <v/>
      </c>
      <c r="I20" s="13">
        <f>IF(AND(D20&lt;&gt;"",H20&gt;0),TODAY()-D20,"")</f>
        <v/>
      </c>
      <c r="J20" s="9" t="n"/>
      <c r="K20" s="11" t="n"/>
      <c r="L20" s="10" t="n"/>
    </row>
    <row r="21">
      <c r="A21" s="4" t="n">
        <v>19</v>
      </c>
      <c r="B21" s="5" t="n"/>
      <c r="C21" s="4" t="n"/>
      <c r="D21" s="6" t="n"/>
      <c r="E21" s="6" t="n"/>
      <c r="F21" s="7" t="n"/>
      <c r="G21" s="7" t="n"/>
      <c r="H21" s="7">
        <f>F21-G21</f>
        <v/>
      </c>
      <c r="I21" s="8">
        <f>IF(AND(D21&lt;&gt;"",H21&gt;0),TODAY()-D21,"")</f>
        <v/>
      </c>
      <c r="J21" s="4" t="n"/>
      <c r="K21" s="6" t="n"/>
      <c r="L21" s="5" t="n"/>
    </row>
    <row r="22">
      <c r="A22" s="9" t="n">
        <v>20</v>
      </c>
      <c r="B22" s="10" t="n"/>
      <c r="C22" s="9" t="n"/>
      <c r="D22" s="11" t="n"/>
      <c r="E22" s="11" t="n"/>
      <c r="F22" s="12" t="n"/>
      <c r="G22" s="12" t="n"/>
      <c r="H22" s="12">
        <f>F22-G22</f>
        <v/>
      </c>
      <c r="I22" s="13">
        <f>IF(AND(D22&lt;&gt;"",H22&gt;0),TODAY()-D22,"")</f>
        <v/>
      </c>
      <c r="J22" s="9" t="n"/>
      <c r="K22" s="11" t="n"/>
      <c r="L22" s="10" t="n"/>
    </row>
    <row r="23">
      <c r="A23" s="4" t="n">
        <v>21</v>
      </c>
      <c r="B23" s="5" t="n"/>
      <c r="C23" s="4" t="n"/>
      <c r="D23" s="6" t="n"/>
      <c r="E23" s="6" t="n"/>
      <c r="F23" s="7" t="n"/>
      <c r="G23" s="7" t="n"/>
      <c r="H23" s="7">
        <f>F23-G23</f>
        <v/>
      </c>
      <c r="I23" s="8">
        <f>IF(AND(D23&lt;&gt;"",H23&gt;0),TODAY()-D23,"")</f>
        <v/>
      </c>
      <c r="J23" s="4" t="n"/>
      <c r="K23" s="6" t="n"/>
      <c r="L23" s="5" t="n"/>
    </row>
    <row r="24">
      <c r="A24" s="9" t="n">
        <v>22</v>
      </c>
      <c r="B24" s="10" t="n"/>
      <c r="C24" s="9" t="n"/>
      <c r="D24" s="11" t="n"/>
      <c r="E24" s="11" t="n"/>
      <c r="F24" s="12" t="n"/>
      <c r="G24" s="12" t="n"/>
      <c r="H24" s="12">
        <f>F24-G24</f>
        <v/>
      </c>
      <c r="I24" s="13">
        <f>IF(AND(D24&lt;&gt;"",H24&gt;0),TODAY()-D24,"")</f>
        <v/>
      </c>
      <c r="J24" s="9" t="n"/>
      <c r="K24" s="11" t="n"/>
      <c r="L24" s="10" t="n"/>
    </row>
    <row r="25">
      <c r="A25" s="4" t="n">
        <v>23</v>
      </c>
      <c r="B25" s="5" t="n"/>
      <c r="C25" s="4" t="n"/>
      <c r="D25" s="6" t="n"/>
      <c r="E25" s="6" t="n"/>
      <c r="F25" s="7" t="n"/>
      <c r="G25" s="7" t="n"/>
      <c r="H25" s="7">
        <f>F25-G25</f>
        <v/>
      </c>
      <c r="I25" s="8">
        <f>IF(AND(D25&lt;&gt;"",H25&gt;0),TODAY()-D25,"")</f>
        <v/>
      </c>
      <c r="J25" s="4" t="n"/>
      <c r="K25" s="6" t="n"/>
      <c r="L25" s="5" t="n"/>
    </row>
    <row r="26">
      <c r="A26" s="9" t="n">
        <v>24</v>
      </c>
      <c r="B26" s="10" t="n"/>
      <c r="C26" s="9" t="n"/>
      <c r="D26" s="11" t="n"/>
      <c r="E26" s="11" t="n"/>
      <c r="F26" s="12" t="n"/>
      <c r="G26" s="12" t="n"/>
      <c r="H26" s="12">
        <f>F26-G26</f>
        <v/>
      </c>
      <c r="I26" s="13">
        <f>IF(AND(D26&lt;&gt;"",H26&gt;0),TODAY()-D26,"")</f>
        <v/>
      </c>
      <c r="J26" s="9" t="n"/>
      <c r="K26" s="11" t="n"/>
      <c r="L26" s="10" t="n"/>
    </row>
    <row r="27">
      <c r="A27" s="4" t="n">
        <v>25</v>
      </c>
      <c r="B27" s="5" t="n"/>
      <c r="C27" s="4" t="n"/>
      <c r="D27" s="6" t="n"/>
      <c r="E27" s="6" t="n"/>
      <c r="F27" s="7" t="n"/>
      <c r="G27" s="7" t="n"/>
      <c r="H27" s="7">
        <f>F27-G27</f>
        <v/>
      </c>
      <c r="I27" s="8">
        <f>IF(AND(D27&lt;&gt;"",H27&gt;0),TODAY()-D27,"")</f>
        <v/>
      </c>
      <c r="J27" s="4" t="n"/>
      <c r="K27" s="6" t="n"/>
      <c r="L27" s="5" t="n"/>
    </row>
    <row r="28">
      <c r="A28" s="9" t="n">
        <v>26</v>
      </c>
      <c r="B28" s="10" t="n"/>
      <c r="C28" s="9" t="n"/>
      <c r="D28" s="11" t="n"/>
      <c r="E28" s="11" t="n"/>
      <c r="F28" s="12" t="n"/>
      <c r="G28" s="12" t="n"/>
      <c r="H28" s="12">
        <f>F28-G28</f>
        <v/>
      </c>
      <c r="I28" s="13">
        <f>IF(AND(D28&lt;&gt;"",H28&gt;0),TODAY()-D28,"")</f>
        <v/>
      </c>
      <c r="J28" s="9" t="n"/>
      <c r="K28" s="11" t="n"/>
      <c r="L28" s="10" t="n"/>
    </row>
    <row r="29">
      <c r="A29" s="4" t="n">
        <v>27</v>
      </c>
      <c r="B29" s="5" t="n"/>
      <c r="C29" s="4" t="n"/>
      <c r="D29" s="6" t="n"/>
      <c r="E29" s="6" t="n"/>
      <c r="F29" s="7" t="n"/>
      <c r="G29" s="7" t="n"/>
      <c r="H29" s="7">
        <f>F29-G29</f>
        <v/>
      </c>
      <c r="I29" s="8">
        <f>IF(AND(D29&lt;&gt;"",H29&gt;0),TODAY()-D29,"")</f>
        <v/>
      </c>
      <c r="J29" s="4" t="n"/>
      <c r="K29" s="6" t="n"/>
      <c r="L29" s="5" t="n"/>
    </row>
    <row r="30">
      <c r="A30" s="9" t="n">
        <v>28</v>
      </c>
      <c r="B30" s="10" t="n"/>
      <c r="C30" s="9" t="n"/>
      <c r="D30" s="11" t="n"/>
      <c r="E30" s="11" t="n"/>
      <c r="F30" s="12" t="n"/>
      <c r="G30" s="12" t="n"/>
      <c r="H30" s="12">
        <f>F30-G30</f>
        <v/>
      </c>
      <c r="I30" s="13">
        <f>IF(AND(D30&lt;&gt;"",H30&gt;0),TODAY()-D30,"")</f>
        <v/>
      </c>
      <c r="J30" s="9" t="n"/>
      <c r="K30" s="11" t="n"/>
      <c r="L30" s="10" t="n"/>
    </row>
    <row r="31">
      <c r="A31" s="4" t="n">
        <v>29</v>
      </c>
      <c r="B31" s="5" t="n"/>
      <c r="C31" s="4" t="n"/>
      <c r="D31" s="6" t="n"/>
      <c r="E31" s="6" t="n"/>
      <c r="F31" s="7" t="n"/>
      <c r="G31" s="7" t="n"/>
      <c r="H31" s="7">
        <f>F31-G31</f>
        <v/>
      </c>
      <c r="I31" s="8">
        <f>IF(AND(D31&lt;&gt;"",H31&gt;0),TODAY()-D31,"")</f>
        <v/>
      </c>
      <c r="J31" s="4" t="n"/>
      <c r="K31" s="6" t="n"/>
      <c r="L31" s="5" t="n"/>
    </row>
    <row r="32">
      <c r="A32" s="9" t="n">
        <v>30</v>
      </c>
      <c r="B32" s="10" t="n"/>
      <c r="C32" s="9" t="n"/>
      <c r="D32" s="11" t="n"/>
      <c r="E32" s="11" t="n"/>
      <c r="F32" s="12" t="n"/>
      <c r="G32" s="12" t="n"/>
      <c r="H32" s="12">
        <f>F32-G32</f>
        <v/>
      </c>
      <c r="I32" s="13">
        <f>IF(AND(D32&lt;&gt;"",H32&gt;0),TODAY()-D32,"")</f>
        <v/>
      </c>
      <c r="J32" s="9" t="n"/>
      <c r="K32" s="11" t="n"/>
      <c r="L32" s="10" t="n"/>
    </row>
    <row r="33">
      <c r="A33" s="4" t="n">
        <v>31</v>
      </c>
      <c r="B33" s="5" t="n"/>
      <c r="C33" s="4" t="n"/>
      <c r="D33" s="6" t="n"/>
      <c r="E33" s="6" t="n"/>
      <c r="F33" s="7" t="n"/>
      <c r="G33" s="7" t="n"/>
      <c r="H33" s="7">
        <f>F33-G33</f>
        <v/>
      </c>
      <c r="I33" s="8">
        <f>IF(AND(D33&lt;&gt;"",H33&gt;0),TODAY()-D33,"")</f>
        <v/>
      </c>
      <c r="J33" s="4" t="n"/>
      <c r="K33" s="6" t="n"/>
      <c r="L33" s="5" t="n"/>
    </row>
    <row r="34">
      <c r="A34" s="9" t="n">
        <v>32</v>
      </c>
      <c r="B34" s="10" t="n"/>
      <c r="C34" s="9" t="n"/>
      <c r="D34" s="11" t="n"/>
      <c r="E34" s="11" t="n"/>
      <c r="F34" s="12" t="n"/>
      <c r="G34" s="12" t="n"/>
      <c r="H34" s="12">
        <f>F34-G34</f>
        <v/>
      </c>
      <c r="I34" s="13">
        <f>IF(AND(D34&lt;&gt;"",H34&gt;0),TODAY()-D34,"")</f>
        <v/>
      </c>
      <c r="J34" s="9" t="n"/>
      <c r="K34" s="11" t="n"/>
      <c r="L34" s="10" t="n"/>
    </row>
    <row r="35">
      <c r="A35" s="4" t="n">
        <v>33</v>
      </c>
      <c r="B35" s="5" t="n"/>
      <c r="C35" s="4" t="n"/>
      <c r="D35" s="6" t="n"/>
      <c r="E35" s="6" t="n"/>
      <c r="F35" s="7" t="n"/>
      <c r="G35" s="7" t="n"/>
      <c r="H35" s="7">
        <f>F35-G35</f>
        <v/>
      </c>
      <c r="I35" s="8">
        <f>IF(AND(D35&lt;&gt;"",H35&gt;0),TODAY()-D35,"")</f>
        <v/>
      </c>
      <c r="J35" s="4" t="n"/>
      <c r="K35" s="6" t="n"/>
      <c r="L35" s="5" t="n"/>
    </row>
    <row r="36">
      <c r="A36" s="9" t="n">
        <v>34</v>
      </c>
      <c r="B36" s="10" t="n"/>
      <c r="C36" s="9" t="n"/>
      <c r="D36" s="11" t="n"/>
      <c r="E36" s="11" t="n"/>
      <c r="F36" s="12" t="n"/>
      <c r="G36" s="12" t="n"/>
      <c r="H36" s="12">
        <f>F36-G36</f>
        <v/>
      </c>
      <c r="I36" s="13">
        <f>IF(AND(D36&lt;&gt;"",H36&gt;0),TODAY()-D36,"")</f>
        <v/>
      </c>
      <c r="J36" s="9" t="n"/>
      <c r="K36" s="11" t="n"/>
      <c r="L36" s="10" t="n"/>
    </row>
    <row r="37">
      <c r="A37" s="4" t="n">
        <v>35</v>
      </c>
      <c r="B37" s="5" t="n"/>
      <c r="C37" s="4" t="n"/>
      <c r="D37" s="6" t="n"/>
      <c r="E37" s="6" t="n"/>
      <c r="F37" s="7" t="n"/>
      <c r="G37" s="7" t="n"/>
      <c r="H37" s="7">
        <f>F37-G37</f>
        <v/>
      </c>
      <c r="I37" s="8">
        <f>IF(AND(D37&lt;&gt;"",H37&gt;0),TODAY()-D37,"")</f>
        <v/>
      </c>
      <c r="J37" s="4" t="n"/>
      <c r="K37" s="6" t="n"/>
      <c r="L37" s="5" t="n"/>
    </row>
    <row r="38">
      <c r="A38" s="9" t="n">
        <v>36</v>
      </c>
      <c r="B38" s="10" t="n"/>
      <c r="C38" s="9" t="n"/>
      <c r="D38" s="11" t="n"/>
      <c r="E38" s="11" t="n"/>
      <c r="F38" s="12" t="n"/>
      <c r="G38" s="12" t="n"/>
      <c r="H38" s="12">
        <f>F38-G38</f>
        <v/>
      </c>
      <c r="I38" s="13">
        <f>IF(AND(D38&lt;&gt;"",H38&gt;0),TODAY()-D38,"")</f>
        <v/>
      </c>
      <c r="J38" s="9" t="n"/>
      <c r="K38" s="11" t="n"/>
      <c r="L38" s="10" t="n"/>
    </row>
    <row r="39">
      <c r="A39" s="4" t="n">
        <v>37</v>
      </c>
      <c r="B39" s="5" t="n"/>
      <c r="C39" s="4" t="n"/>
      <c r="D39" s="6" t="n"/>
      <c r="E39" s="6" t="n"/>
      <c r="F39" s="7" t="n"/>
      <c r="G39" s="7" t="n"/>
      <c r="H39" s="7">
        <f>F39-G39</f>
        <v/>
      </c>
      <c r="I39" s="8">
        <f>IF(AND(D39&lt;&gt;"",H39&gt;0),TODAY()-D39,"")</f>
        <v/>
      </c>
      <c r="J39" s="4" t="n"/>
      <c r="K39" s="6" t="n"/>
      <c r="L39" s="5" t="n"/>
    </row>
    <row r="40">
      <c r="A40" s="9" t="n">
        <v>38</v>
      </c>
      <c r="B40" s="10" t="n"/>
      <c r="C40" s="9" t="n"/>
      <c r="D40" s="11" t="n"/>
      <c r="E40" s="11" t="n"/>
      <c r="F40" s="12" t="n"/>
      <c r="G40" s="12" t="n"/>
      <c r="H40" s="12">
        <f>F40-G40</f>
        <v/>
      </c>
      <c r="I40" s="13">
        <f>IF(AND(D40&lt;&gt;"",H40&gt;0),TODAY()-D40,"")</f>
        <v/>
      </c>
      <c r="J40" s="9" t="n"/>
      <c r="K40" s="11" t="n"/>
      <c r="L40" s="10" t="n"/>
    </row>
    <row r="41">
      <c r="A41" s="4" t="n">
        <v>39</v>
      </c>
      <c r="B41" s="5" t="n"/>
      <c r="C41" s="4" t="n"/>
      <c r="D41" s="6" t="n"/>
      <c r="E41" s="6" t="n"/>
      <c r="F41" s="7" t="n"/>
      <c r="G41" s="7" t="n"/>
      <c r="H41" s="7">
        <f>F41-G41</f>
        <v/>
      </c>
      <c r="I41" s="8">
        <f>IF(AND(D41&lt;&gt;"",H41&gt;0),TODAY()-D41,"")</f>
        <v/>
      </c>
      <c r="J41" s="4" t="n"/>
      <c r="K41" s="6" t="n"/>
      <c r="L41" s="5" t="n"/>
    </row>
    <row r="42">
      <c r="A42" s="9" t="n">
        <v>40</v>
      </c>
      <c r="B42" s="10" t="n"/>
      <c r="C42" s="9" t="n"/>
      <c r="D42" s="11" t="n"/>
      <c r="E42" s="11" t="n"/>
      <c r="F42" s="12" t="n"/>
      <c r="G42" s="12" t="n"/>
      <c r="H42" s="12">
        <f>F42-G42</f>
        <v/>
      </c>
      <c r="I42" s="13">
        <f>IF(AND(D42&lt;&gt;"",H42&gt;0),TODAY()-D42,"")</f>
        <v/>
      </c>
      <c r="J42" s="9" t="n"/>
      <c r="K42" s="11" t="n"/>
      <c r="L42" s="10" t="n"/>
    </row>
    <row r="43">
      <c r="A43" s="4" t="n">
        <v>41</v>
      </c>
      <c r="B43" s="5" t="n"/>
      <c r="C43" s="4" t="n"/>
      <c r="D43" s="6" t="n"/>
      <c r="E43" s="6" t="n"/>
      <c r="F43" s="7" t="n"/>
      <c r="G43" s="7" t="n"/>
      <c r="H43" s="7">
        <f>F43-G43</f>
        <v/>
      </c>
      <c r="I43" s="8">
        <f>IF(AND(D43&lt;&gt;"",H43&gt;0),TODAY()-D43,"")</f>
        <v/>
      </c>
      <c r="J43" s="4" t="n"/>
      <c r="K43" s="6" t="n"/>
      <c r="L43" s="5" t="n"/>
    </row>
    <row r="44">
      <c r="A44" s="9" t="n">
        <v>42</v>
      </c>
      <c r="B44" s="10" t="n"/>
      <c r="C44" s="9" t="n"/>
      <c r="D44" s="11" t="n"/>
      <c r="E44" s="11" t="n"/>
      <c r="F44" s="12" t="n"/>
      <c r="G44" s="12" t="n"/>
      <c r="H44" s="12">
        <f>F44-G44</f>
        <v/>
      </c>
      <c r="I44" s="13">
        <f>IF(AND(D44&lt;&gt;"",H44&gt;0),TODAY()-D44,"")</f>
        <v/>
      </c>
      <c r="J44" s="9" t="n"/>
      <c r="K44" s="11" t="n"/>
      <c r="L44" s="10" t="n"/>
    </row>
    <row r="45">
      <c r="A45" s="4" t="n">
        <v>43</v>
      </c>
      <c r="B45" s="5" t="n"/>
      <c r="C45" s="4" t="n"/>
      <c r="D45" s="6" t="n"/>
      <c r="E45" s="6" t="n"/>
      <c r="F45" s="7" t="n"/>
      <c r="G45" s="7" t="n"/>
      <c r="H45" s="7">
        <f>F45-G45</f>
        <v/>
      </c>
      <c r="I45" s="8">
        <f>IF(AND(D45&lt;&gt;"",H45&gt;0),TODAY()-D45,"")</f>
        <v/>
      </c>
      <c r="J45" s="4" t="n"/>
      <c r="K45" s="6" t="n"/>
      <c r="L45" s="5" t="n"/>
    </row>
    <row r="46">
      <c r="A46" s="9" t="n">
        <v>44</v>
      </c>
      <c r="B46" s="10" t="n"/>
      <c r="C46" s="9" t="n"/>
      <c r="D46" s="11" t="n"/>
      <c r="E46" s="11" t="n"/>
      <c r="F46" s="12" t="n"/>
      <c r="G46" s="12" t="n"/>
      <c r="H46" s="12">
        <f>F46-G46</f>
        <v/>
      </c>
      <c r="I46" s="13">
        <f>IF(AND(D46&lt;&gt;"",H46&gt;0),TODAY()-D46,"")</f>
        <v/>
      </c>
      <c r="J46" s="9" t="n"/>
      <c r="K46" s="11" t="n"/>
      <c r="L46" s="10" t="n"/>
    </row>
    <row r="47">
      <c r="A47" s="4" t="n">
        <v>45</v>
      </c>
      <c r="B47" s="5" t="n"/>
      <c r="C47" s="4" t="n"/>
      <c r="D47" s="6" t="n"/>
      <c r="E47" s="6" t="n"/>
      <c r="F47" s="7" t="n"/>
      <c r="G47" s="7" t="n"/>
      <c r="H47" s="7">
        <f>F47-G47</f>
        <v/>
      </c>
      <c r="I47" s="8">
        <f>IF(AND(D47&lt;&gt;"",H47&gt;0),TODAY()-D47,"")</f>
        <v/>
      </c>
      <c r="J47" s="4" t="n"/>
      <c r="K47" s="6" t="n"/>
      <c r="L47" s="5" t="n"/>
    </row>
    <row r="48">
      <c r="A48" s="9" t="n">
        <v>46</v>
      </c>
      <c r="B48" s="10" t="n"/>
      <c r="C48" s="9" t="n"/>
      <c r="D48" s="11" t="n"/>
      <c r="E48" s="11" t="n"/>
      <c r="F48" s="12" t="n"/>
      <c r="G48" s="12" t="n"/>
      <c r="H48" s="12">
        <f>F48-G48</f>
        <v/>
      </c>
      <c r="I48" s="13">
        <f>IF(AND(D48&lt;&gt;"",H48&gt;0),TODAY()-D48,"")</f>
        <v/>
      </c>
      <c r="J48" s="9" t="n"/>
      <c r="K48" s="11" t="n"/>
      <c r="L48" s="10" t="n"/>
    </row>
    <row r="49">
      <c r="A49" s="4" t="n">
        <v>47</v>
      </c>
      <c r="B49" s="5" t="n"/>
      <c r="C49" s="4" t="n"/>
      <c r="D49" s="6" t="n"/>
      <c r="E49" s="6" t="n"/>
      <c r="F49" s="7" t="n"/>
      <c r="G49" s="7" t="n"/>
      <c r="H49" s="7">
        <f>F49-G49</f>
        <v/>
      </c>
      <c r="I49" s="8">
        <f>IF(AND(D49&lt;&gt;"",H49&gt;0),TODAY()-D49,"")</f>
        <v/>
      </c>
      <c r="J49" s="4" t="n"/>
      <c r="K49" s="6" t="n"/>
      <c r="L49" s="5" t="n"/>
    </row>
    <row r="50">
      <c r="A50" s="9" t="n">
        <v>48</v>
      </c>
      <c r="B50" s="10" t="n"/>
      <c r="C50" s="9" t="n"/>
      <c r="D50" s="11" t="n"/>
      <c r="E50" s="11" t="n"/>
      <c r="F50" s="12" t="n"/>
      <c r="G50" s="12" t="n"/>
      <c r="H50" s="12">
        <f>F50-G50</f>
        <v/>
      </c>
      <c r="I50" s="13">
        <f>IF(AND(D50&lt;&gt;"",H50&gt;0),TODAY()-D50,"")</f>
        <v/>
      </c>
      <c r="J50" s="9" t="n"/>
      <c r="K50" s="11" t="n"/>
      <c r="L50" s="10" t="n"/>
    </row>
    <row r="51">
      <c r="A51" s="4" t="n">
        <v>49</v>
      </c>
      <c r="B51" s="5" t="n"/>
      <c r="C51" s="4" t="n"/>
      <c r="D51" s="6" t="n"/>
      <c r="E51" s="6" t="n"/>
      <c r="F51" s="7" t="n"/>
      <c r="G51" s="7" t="n"/>
      <c r="H51" s="7">
        <f>F51-G51</f>
        <v/>
      </c>
      <c r="I51" s="8">
        <f>IF(AND(D51&lt;&gt;"",H51&gt;0),TODAY()-D51,"")</f>
        <v/>
      </c>
      <c r="J51" s="4" t="n"/>
      <c r="K51" s="6" t="n"/>
      <c r="L51" s="5" t="n"/>
    </row>
    <row r="52">
      <c r="A52" s="9" t="n">
        <v>50</v>
      </c>
      <c r="B52" s="10" t="n"/>
      <c r="C52" s="9" t="n"/>
      <c r="D52" s="11" t="n"/>
      <c r="E52" s="11" t="n"/>
      <c r="F52" s="12" t="n"/>
      <c r="G52" s="12" t="n"/>
      <c r="H52" s="12">
        <f>F52-G52</f>
        <v/>
      </c>
      <c r="I52" s="13">
        <f>IF(AND(D52&lt;&gt;"",H52&gt;0),TODAY()-D52,"")</f>
        <v/>
      </c>
      <c r="J52" s="9" t="n"/>
      <c r="K52" s="11" t="n"/>
      <c r="L52" s="10" t="n"/>
    </row>
    <row r="53">
      <c r="A53" s="4" t="n">
        <v>51</v>
      </c>
      <c r="B53" s="5" t="n"/>
      <c r="C53" s="4" t="n"/>
      <c r="D53" s="6" t="n"/>
      <c r="E53" s="6" t="n"/>
      <c r="F53" s="7" t="n"/>
      <c r="G53" s="7" t="n"/>
      <c r="H53" s="7">
        <f>F53-G53</f>
        <v/>
      </c>
      <c r="I53" s="8">
        <f>IF(AND(D53&lt;&gt;"",H53&gt;0),TODAY()-D53,"")</f>
        <v/>
      </c>
      <c r="J53" s="4" t="n"/>
      <c r="K53" s="6" t="n"/>
      <c r="L53" s="5" t="n"/>
    </row>
    <row r="54">
      <c r="A54" s="9" t="n">
        <v>52</v>
      </c>
      <c r="B54" s="10" t="n"/>
      <c r="C54" s="9" t="n"/>
      <c r="D54" s="11" t="n"/>
      <c r="E54" s="11" t="n"/>
      <c r="F54" s="12" t="n"/>
      <c r="G54" s="12" t="n"/>
      <c r="H54" s="12">
        <f>F54-G54</f>
        <v/>
      </c>
      <c r="I54" s="13">
        <f>IF(AND(D54&lt;&gt;"",H54&gt;0),TODAY()-D54,"")</f>
        <v/>
      </c>
      <c r="J54" s="9" t="n"/>
      <c r="K54" s="11" t="n"/>
      <c r="L54" s="10" t="n"/>
    </row>
    <row r="55">
      <c r="A55" s="4" t="n">
        <v>53</v>
      </c>
      <c r="B55" s="5" t="n"/>
      <c r="C55" s="4" t="n"/>
      <c r="D55" s="6" t="n"/>
      <c r="E55" s="6" t="n"/>
      <c r="F55" s="7" t="n"/>
      <c r="G55" s="7" t="n"/>
      <c r="H55" s="7">
        <f>F55-G55</f>
        <v/>
      </c>
      <c r="I55" s="8">
        <f>IF(AND(D55&lt;&gt;"",H55&gt;0),TODAY()-D55,"")</f>
        <v/>
      </c>
      <c r="J55" s="4" t="n"/>
      <c r="K55" s="6" t="n"/>
      <c r="L55" s="5" t="n"/>
    </row>
    <row r="56">
      <c r="A56" s="9" t="n">
        <v>54</v>
      </c>
      <c r="B56" s="10" t="n"/>
      <c r="C56" s="9" t="n"/>
      <c r="D56" s="11" t="n"/>
      <c r="E56" s="11" t="n"/>
      <c r="F56" s="12" t="n"/>
      <c r="G56" s="12" t="n"/>
      <c r="H56" s="12">
        <f>F56-G56</f>
        <v/>
      </c>
      <c r="I56" s="13">
        <f>IF(AND(D56&lt;&gt;"",H56&gt;0),TODAY()-D56,"")</f>
        <v/>
      </c>
      <c r="J56" s="9" t="n"/>
      <c r="K56" s="11" t="n"/>
      <c r="L56" s="10" t="n"/>
    </row>
    <row r="57">
      <c r="A57" s="4" t="n">
        <v>55</v>
      </c>
      <c r="B57" s="5" t="n"/>
      <c r="C57" s="4" t="n"/>
      <c r="D57" s="6" t="n"/>
      <c r="E57" s="6" t="n"/>
      <c r="F57" s="7" t="n"/>
      <c r="G57" s="7" t="n"/>
      <c r="H57" s="7">
        <f>F57-G57</f>
        <v/>
      </c>
      <c r="I57" s="8">
        <f>IF(AND(D57&lt;&gt;"",H57&gt;0),TODAY()-D57,"")</f>
        <v/>
      </c>
      <c r="J57" s="4" t="n"/>
      <c r="K57" s="6" t="n"/>
      <c r="L57" s="5" t="n"/>
    </row>
    <row r="58">
      <c r="A58" s="9" t="n">
        <v>56</v>
      </c>
      <c r="B58" s="10" t="n"/>
      <c r="C58" s="9" t="n"/>
      <c r="D58" s="11" t="n"/>
      <c r="E58" s="11" t="n"/>
      <c r="F58" s="12" t="n"/>
      <c r="G58" s="12" t="n"/>
      <c r="H58" s="12">
        <f>F58-G58</f>
        <v/>
      </c>
      <c r="I58" s="13">
        <f>IF(AND(D58&lt;&gt;"",H58&gt;0),TODAY()-D58,"")</f>
        <v/>
      </c>
      <c r="J58" s="9" t="n"/>
      <c r="K58" s="11" t="n"/>
      <c r="L58" s="10" t="n"/>
    </row>
    <row r="59">
      <c r="A59" s="4" t="n">
        <v>57</v>
      </c>
      <c r="B59" s="5" t="n"/>
      <c r="C59" s="4" t="n"/>
      <c r="D59" s="6" t="n"/>
      <c r="E59" s="6" t="n"/>
      <c r="F59" s="7" t="n"/>
      <c r="G59" s="7" t="n"/>
      <c r="H59" s="7">
        <f>F59-G59</f>
        <v/>
      </c>
      <c r="I59" s="8">
        <f>IF(AND(D59&lt;&gt;"",H59&gt;0),TODAY()-D59,"")</f>
        <v/>
      </c>
      <c r="J59" s="4" t="n"/>
      <c r="K59" s="6" t="n"/>
      <c r="L59" s="5" t="n"/>
    </row>
    <row r="60">
      <c r="A60" s="9" t="n">
        <v>58</v>
      </c>
      <c r="B60" s="10" t="n"/>
      <c r="C60" s="9" t="n"/>
      <c r="D60" s="11" t="n"/>
      <c r="E60" s="11" t="n"/>
      <c r="F60" s="12" t="n"/>
      <c r="G60" s="12" t="n"/>
      <c r="H60" s="12">
        <f>F60-G60</f>
        <v/>
      </c>
      <c r="I60" s="13">
        <f>IF(AND(D60&lt;&gt;"",H60&gt;0),TODAY()-D60,"")</f>
        <v/>
      </c>
      <c r="J60" s="9" t="n"/>
      <c r="K60" s="11" t="n"/>
      <c r="L60" s="10" t="n"/>
    </row>
    <row r="61">
      <c r="A61" s="4" t="n">
        <v>59</v>
      </c>
      <c r="B61" s="5" t="n"/>
      <c r="C61" s="4" t="n"/>
      <c r="D61" s="6" t="n"/>
      <c r="E61" s="6" t="n"/>
      <c r="F61" s="7" t="n"/>
      <c r="G61" s="7" t="n"/>
      <c r="H61" s="7">
        <f>F61-G61</f>
        <v/>
      </c>
      <c r="I61" s="8">
        <f>IF(AND(D61&lt;&gt;"",H61&gt;0),TODAY()-D61,"")</f>
        <v/>
      </c>
      <c r="J61" s="4" t="n"/>
      <c r="K61" s="6" t="n"/>
      <c r="L61" s="5" t="n"/>
    </row>
    <row r="62">
      <c r="A62" s="9" t="n">
        <v>60</v>
      </c>
      <c r="B62" s="10" t="n"/>
      <c r="C62" s="9" t="n"/>
      <c r="D62" s="11" t="n"/>
      <c r="E62" s="11" t="n"/>
      <c r="F62" s="12" t="n"/>
      <c r="G62" s="12" t="n"/>
      <c r="H62" s="12">
        <f>F62-G62</f>
        <v/>
      </c>
      <c r="I62" s="13">
        <f>IF(AND(D62&lt;&gt;"",H62&gt;0),TODAY()-D62,"")</f>
        <v/>
      </c>
      <c r="J62" s="9" t="n"/>
      <c r="K62" s="11" t="n"/>
      <c r="L62" s="10" t="n"/>
    </row>
    <row r="63">
      <c r="A63" s="4" t="n">
        <v>61</v>
      </c>
      <c r="B63" s="5" t="n"/>
      <c r="C63" s="4" t="n"/>
      <c r="D63" s="6" t="n"/>
      <c r="E63" s="6" t="n"/>
      <c r="F63" s="7" t="n"/>
      <c r="G63" s="7" t="n"/>
      <c r="H63" s="7">
        <f>F63-G63</f>
        <v/>
      </c>
      <c r="I63" s="8">
        <f>IF(AND(D63&lt;&gt;"",H63&gt;0),TODAY()-D63,"")</f>
        <v/>
      </c>
      <c r="J63" s="4" t="n"/>
      <c r="K63" s="6" t="n"/>
      <c r="L63" s="5" t="n"/>
    </row>
    <row r="64">
      <c r="A64" s="9" t="n">
        <v>62</v>
      </c>
      <c r="B64" s="10" t="n"/>
      <c r="C64" s="9" t="n"/>
      <c r="D64" s="11" t="n"/>
      <c r="E64" s="11" t="n"/>
      <c r="F64" s="12" t="n"/>
      <c r="G64" s="12" t="n"/>
      <c r="H64" s="12">
        <f>F64-G64</f>
        <v/>
      </c>
      <c r="I64" s="13">
        <f>IF(AND(D64&lt;&gt;"",H64&gt;0),TODAY()-D64,"")</f>
        <v/>
      </c>
      <c r="J64" s="9" t="n"/>
      <c r="K64" s="11" t="n"/>
      <c r="L64" s="10" t="n"/>
    </row>
    <row r="65">
      <c r="A65" s="4" t="n">
        <v>63</v>
      </c>
      <c r="B65" s="5" t="n"/>
      <c r="C65" s="4" t="n"/>
      <c r="D65" s="6" t="n"/>
      <c r="E65" s="6" t="n"/>
      <c r="F65" s="7" t="n"/>
      <c r="G65" s="7" t="n"/>
      <c r="H65" s="7">
        <f>F65-G65</f>
        <v/>
      </c>
      <c r="I65" s="8">
        <f>IF(AND(D65&lt;&gt;"",H65&gt;0),TODAY()-D65,"")</f>
        <v/>
      </c>
      <c r="J65" s="4" t="n"/>
      <c r="K65" s="6" t="n"/>
      <c r="L65" s="5" t="n"/>
    </row>
    <row r="66">
      <c r="A66" s="9" t="n">
        <v>64</v>
      </c>
      <c r="B66" s="10" t="n"/>
      <c r="C66" s="9" t="n"/>
      <c r="D66" s="11" t="n"/>
      <c r="E66" s="11" t="n"/>
      <c r="F66" s="12" t="n"/>
      <c r="G66" s="12" t="n"/>
      <c r="H66" s="12">
        <f>F66-G66</f>
        <v/>
      </c>
      <c r="I66" s="13">
        <f>IF(AND(D66&lt;&gt;"",H66&gt;0),TODAY()-D66,"")</f>
        <v/>
      </c>
      <c r="J66" s="9" t="n"/>
      <c r="K66" s="11" t="n"/>
      <c r="L66" s="10" t="n"/>
    </row>
    <row r="67">
      <c r="A67" s="4" t="n">
        <v>65</v>
      </c>
      <c r="B67" s="5" t="n"/>
      <c r="C67" s="4" t="n"/>
      <c r="D67" s="6" t="n"/>
      <c r="E67" s="6" t="n"/>
      <c r="F67" s="7" t="n"/>
      <c r="G67" s="7" t="n"/>
      <c r="H67" s="7">
        <f>F67-G67</f>
        <v/>
      </c>
      <c r="I67" s="8">
        <f>IF(AND(D67&lt;&gt;"",H67&gt;0),TODAY()-D67,"")</f>
        <v/>
      </c>
      <c r="J67" s="4" t="n"/>
      <c r="K67" s="6" t="n"/>
      <c r="L67" s="5" t="n"/>
    </row>
    <row r="68">
      <c r="A68" s="9" t="n">
        <v>66</v>
      </c>
      <c r="B68" s="10" t="n"/>
      <c r="C68" s="9" t="n"/>
      <c r="D68" s="11" t="n"/>
      <c r="E68" s="11" t="n"/>
      <c r="F68" s="12" t="n"/>
      <c r="G68" s="12" t="n"/>
      <c r="H68" s="12">
        <f>F68-G68</f>
        <v/>
      </c>
      <c r="I68" s="13">
        <f>IF(AND(D68&lt;&gt;"",H68&gt;0),TODAY()-D68,"")</f>
        <v/>
      </c>
      <c r="J68" s="9" t="n"/>
      <c r="K68" s="11" t="n"/>
      <c r="L68" s="10" t="n"/>
    </row>
    <row r="69">
      <c r="A69" s="4" t="n">
        <v>67</v>
      </c>
      <c r="B69" s="5" t="n"/>
      <c r="C69" s="4" t="n"/>
      <c r="D69" s="6" t="n"/>
      <c r="E69" s="6" t="n"/>
      <c r="F69" s="7" t="n"/>
      <c r="G69" s="7" t="n"/>
      <c r="H69" s="7">
        <f>F69-G69</f>
        <v/>
      </c>
      <c r="I69" s="8">
        <f>IF(AND(D69&lt;&gt;"",H69&gt;0),TODAY()-D69,"")</f>
        <v/>
      </c>
      <c r="J69" s="4" t="n"/>
      <c r="K69" s="6" t="n"/>
      <c r="L69" s="5" t="n"/>
    </row>
    <row r="70">
      <c r="A70" s="9" t="n">
        <v>68</v>
      </c>
      <c r="B70" s="10" t="n"/>
      <c r="C70" s="9" t="n"/>
      <c r="D70" s="11" t="n"/>
      <c r="E70" s="11" t="n"/>
      <c r="F70" s="12" t="n"/>
      <c r="G70" s="12" t="n"/>
      <c r="H70" s="12">
        <f>F70-G70</f>
        <v/>
      </c>
      <c r="I70" s="13">
        <f>IF(AND(D70&lt;&gt;"",H70&gt;0),TODAY()-D70,"")</f>
        <v/>
      </c>
      <c r="J70" s="9" t="n"/>
      <c r="K70" s="11" t="n"/>
      <c r="L70" s="10" t="n"/>
    </row>
    <row r="71">
      <c r="A71" s="4" t="n">
        <v>69</v>
      </c>
      <c r="B71" s="5" t="n"/>
      <c r="C71" s="4" t="n"/>
      <c r="D71" s="6" t="n"/>
      <c r="E71" s="6" t="n"/>
      <c r="F71" s="7" t="n"/>
      <c r="G71" s="7" t="n"/>
      <c r="H71" s="7">
        <f>F71-G71</f>
        <v/>
      </c>
      <c r="I71" s="8">
        <f>IF(AND(D71&lt;&gt;"",H71&gt;0),TODAY()-D71,"")</f>
        <v/>
      </c>
      <c r="J71" s="4" t="n"/>
      <c r="K71" s="6" t="n"/>
      <c r="L71" s="5" t="n"/>
    </row>
    <row r="72">
      <c r="A72" s="9" t="n">
        <v>70</v>
      </c>
      <c r="B72" s="10" t="n"/>
      <c r="C72" s="9" t="n"/>
      <c r="D72" s="11" t="n"/>
      <c r="E72" s="11" t="n"/>
      <c r="F72" s="12" t="n"/>
      <c r="G72" s="12" t="n"/>
      <c r="H72" s="12">
        <f>F72-G72</f>
        <v/>
      </c>
      <c r="I72" s="13">
        <f>IF(AND(D72&lt;&gt;"",H72&gt;0),TODAY()-D72,"")</f>
        <v/>
      </c>
      <c r="J72" s="9" t="n"/>
      <c r="K72" s="11" t="n"/>
      <c r="L72" s="10" t="n"/>
    </row>
    <row r="73">
      <c r="A73" s="4" t="n">
        <v>71</v>
      </c>
      <c r="B73" s="5" t="n"/>
      <c r="C73" s="4" t="n"/>
      <c r="D73" s="6" t="n"/>
      <c r="E73" s="6" t="n"/>
      <c r="F73" s="7" t="n"/>
      <c r="G73" s="7" t="n"/>
      <c r="H73" s="7">
        <f>F73-G73</f>
        <v/>
      </c>
      <c r="I73" s="8">
        <f>IF(AND(D73&lt;&gt;"",H73&gt;0),TODAY()-D73,"")</f>
        <v/>
      </c>
      <c r="J73" s="4" t="n"/>
      <c r="K73" s="6" t="n"/>
      <c r="L73" s="5" t="n"/>
    </row>
    <row r="74">
      <c r="A74" s="9" t="n">
        <v>72</v>
      </c>
      <c r="B74" s="10" t="n"/>
      <c r="C74" s="9" t="n"/>
      <c r="D74" s="11" t="n"/>
      <c r="E74" s="11" t="n"/>
      <c r="F74" s="12" t="n"/>
      <c r="G74" s="12" t="n"/>
      <c r="H74" s="12">
        <f>F74-G74</f>
        <v/>
      </c>
      <c r="I74" s="13">
        <f>IF(AND(D74&lt;&gt;"",H74&gt;0),TODAY()-D74,"")</f>
        <v/>
      </c>
      <c r="J74" s="9" t="n"/>
      <c r="K74" s="11" t="n"/>
      <c r="L74" s="10" t="n"/>
    </row>
    <row r="75">
      <c r="A75" s="4" t="n">
        <v>73</v>
      </c>
      <c r="B75" s="5" t="n"/>
      <c r="C75" s="4" t="n"/>
      <c r="D75" s="6" t="n"/>
      <c r="E75" s="6" t="n"/>
      <c r="F75" s="7" t="n"/>
      <c r="G75" s="7" t="n"/>
      <c r="H75" s="7">
        <f>F75-G75</f>
        <v/>
      </c>
      <c r="I75" s="8">
        <f>IF(AND(D75&lt;&gt;"",H75&gt;0),TODAY()-D75,"")</f>
        <v/>
      </c>
      <c r="J75" s="4" t="n"/>
      <c r="K75" s="6" t="n"/>
      <c r="L75" s="5" t="n"/>
    </row>
    <row r="76">
      <c r="A76" s="9" t="n">
        <v>74</v>
      </c>
      <c r="B76" s="10" t="n"/>
      <c r="C76" s="9" t="n"/>
      <c r="D76" s="11" t="n"/>
      <c r="E76" s="11" t="n"/>
      <c r="F76" s="12" t="n"/>
      <c r="G76" s="12" t="n"/>
      <c r="H76" s="12">
        <f>F76-G76</f>
        <v/>
      </c>
      <c r="I76" s="13">
        <f>IF(AND(D76&lt;&gt;"",H76&gt;0),TODAY()-D76,"")</f>
        <v/>
      </c>
      <c r="J76" s="9" t="n"/>
      <c r="K76" s="11" t="n"/>
      <c r="L76" s="10" t="n"/>
    </row>
    <row r="77">
      <c r="A77" s="4" t="n">
        <v>75</v>
      </c>
      <c r="B77" s="5" t="n"/>
      <c r="C77" s="4" t="n"/>
      <c r="D77" s="6" t="n"/>
      <c r="E77" s="6" t="n"/>
      <c r="F77" s="7" t="n"/>
      <c r="G77" s="7" t="n"/>
      <c r="H77" s="7">
        <f>F77-G77</f>
        <v/>
      </c>
      <c r="I77" s="8">
        <f>IF(AND(D77&lt;&gt;"",H77&gt;0),TODAY()-D77,"")</f>
        <v/>
      </c>
      <c r="J77" s="4" t="n"/>
      <c r="K77" s="6" t="n"/>
      <c r="L77" s="5" t="n"/>
    </row>
    <row r="78">
      <c r="A78" s="9" t="n">
        <v>76</v>
      </c>
      <c r="B78" s="10" t="n"/>
      <c r="C78" s="9" t="n"/>
      <c r="D78" s="11" t="n"/>
      <c r="E78" s="11" t="n"/>
      <c r="F78" s="12" t="n"/>
      <c r="G78" s="12" t="n"/>
      <c r="H78" s="12">
        <f>F78-G78</f>
        <v/>
      </c>
      <c r="I78" s="13">
        <f>IF(AND(D78&lt;&gt;"",H78&gt;0),TODAY()-D78,"")</f>
        <v/>
      </c>
      <c r="J78" s="9" t="n"/>
      <c r="K78" s="11" t="n"/>
      <c r="L78" s="10" t="n"/>
    </row>
    <row r="79">
      <c r="A79" s="4" t="n">
        <v>77</v>
      </c>
      <c r="B79" s="5" t="n"/>
      <c r="C79" s="4" t="n"/>
      <c r="D79" s="6" t="n"/>
      <c r="E79" s="6" t="n"/>
      <c r="F79" s="7" t="n"/>
      <c r="G79" s="7" t="n"/>
      <c r="H79" s="7">
        <f>F79-G79</f>
        <v/>
      </c>
      <c r="I79" s="8">
        <f>IF(AND(D79&lt;&gt;"",H79&gt;0),TODAY()-D79,"")</f>
        <v/>
      </c>
      <c r="J79" s="4" t="n"/>
      <c r="K79" s="6" t="n"/>
      <c r="L79" s="5" t="n"/>
    </row>
    <row r="80">
      <c r="A80" s="9" t="n">
        <v>78</v>
      </c>
      <c r="B80" s="10" t="n"/>
      <c r="C80" s="9" t="n"/>
      <c r="D80" s="11" t="n"/>
      <c r="E80" s="11" t="n"/>
      <c r="F80" s="12" t="n"/>
      <c r="G80" s="12" t="n"/>
      <c r="H80" s="12">
        <f>F80-G80</f>
        <v/>
      </c>
      <c r="I80" s="13">
        <f>IF(AND(D80&lt;&gt;"",H80&gt;0),TODAY()-D80,"")</f>
        <v/>
      </c>
      <c r="J80" s="9" t="n"/>
      <c r="K80" s="11" t="n"/>
      <c r="L80" s="10" t="n"/>
    </row>
    <row r="81">
      <c r="A81" s="4" t="n">
        <v>79</v>
      </c>
      <c r="B81" s="5" t="n"/>
      <c r="C81" s="4" t="n"/>
      <c r="D81" s="6" t="n"/>
      <c r="E81" s="6" t="n"/>
      <c r="F81" s="7" t="n"/>
      <c r="G81" s="7" t="n"/>
      <c r="H81" s="7">
        <f>F81-G81</f>
        <v/>
      </c>
      <c r="I81" s="8">
        <f>IF(AND(D81&lt;&gt;"",H81&gt;0),TODAY()-D81,"")</f>
        <v/>
      </c>
      <c r="J81" s="4" t="n"/>
      <c r="K81" s="6" t="n"/>
      <c r="L81" s="5" t="n"/>
    </row>
    <row r="82">
      <c r="A82" s="9" t="n">
        <v>80</v>
      </c>
      <c r="B82" s="10" t="n"/>
      <c r="C82" s="9" t="n"/>
      <c r="D82" s="11" t="n"/>
      <c r="E82" s="11" t="n"/>
      <c r="F82" s="12" t="n"/>
      <c r="G82" s="12" t="n"/>
      <c r="H82" s="12">
        <f>F82-G82</f>
        <v/>
      </c>
      <c r="I82" s="13">
        <f>IF(AND(D82&lt;&gt;"",H82&gt;0),TODAY()-D82,"")</f>
        <v/>
      </c>
      <c r="J82" s="9" t="n"/>
      <c r="K82" s="11" t="n"/>
      <c r="L82" s="10" t="n"/>
    </row>
    <row r="83">
      <c r="A83" s="4" t="n">
        <v>81</v>
      </c>
      <c r="B83" s="5" t="n"/>
      <c r="C83" s="4" t="n"/>
      <c r="D83" s="6" t="n"/>
      <c r="E83" s="6" t="n"/>
      <c r="F83" s="7" t="n"/>
      <c r="G83" s="7" t="n"/>
      <c r="H83" s="7">
        <f>F83-G83</f>
        <v/>
      </c>
      <c r="I83" s="8">
        <f>IF(AND(D83&lt;&gt;"",H83&gt;0),TODAY()-D83,"")</f>
        <v/>
      </c>
      <c r="J83" s="4" t="n"/>
      <c r="K83" s="6" t="n"/>
      <c r="L83" s="5" t="n"/>
    </row>
    <row r="84">
      <c r="A84" s="9" t="n">
        <v>82</v>
      </c>
      <c r="B84" s="10" t="n"/>
      <c r="C84" s="9" t="n"/>
      <c r="D84" s="11" t="n"/>
      <c r="E84" s="11" t="n"/>
      <c r="F84" s="12" t="n"/>
      <c r="G84" s="12" t="n"/>
      <c r="H84" s="12">
        <f>F84-G84</f>
        <v/>
      </c>
      <c r="I84" s="13">
        <f>IF(AND(D84&lt;&gt;"",H84&gt;0),TODAY()-D84,"")</f>
        <v/>
      </c>
      <c r="J84" s="9" t="n"/>
      <c r="K84" s="11" t="n"/>
      <c r="L84" s="10" t="n"/>
    </row>
    <row r="85">
      <c r="A85" s="4" t="n">
        <v>83</v>
      </c>
      <c r="B85" s="5" t="n"/>
      <c r="C85" s="4" t="n"/>
      <c r="D85" s="6" t="n"/>
      <c r="E85" s="6" t="n"/>
      <c r="F85" s="7" t="n"/>
      <c r="G85" s="7" t="n"/>
      <c r="H85" s="7">
        <f>F85-G85</f>
        <v/>
      </c>
      <c r="I85" s="8">
        <f>IF(AND(D85&lt;&gt;"",H85&gt;0),TODAY()-D85,"")</f>
        <v/>
      </c>
      <c r="J85" s="4" t="n"/>
      <c r="K85" s="6" t="n"/>
      <c r="L85" s="5" t="n"/>
    </row>
    <row r="86">
      <c r="A86" s="9" t="n">
        <v>84</v>
      </c>
      <c r="B86" s="10" t="n"/>
      <c r="C86" s="9" t="n"/>
      <c r="D86" s="11" t="n"/>
      <c r="E86" s="11" t="n"/>
      <c r="F86" s="12" t="n"/>
      <c r="G86" s="12" t="n"/>
      <c r="H86" s="12">
        <f>F86-G86</f>
        <v/>
      </c>
      <c r="I86" s="13">
        <f>IF(AND(D86&lt;&gt;"",H86&gt;0),TODAY()-D86,"")</f>
        <v/>
      </c>
      <c r="J86" s="9" t="n"/>
      <c r="K86" s="11" t="n"/>
      <c r="L86" s="10" t="n"/>
    </row>
    <row r="87">
      <c r="A87" s="4" t="n">
        <v>85</v>
      </c>
      <c r="B87" s="5" t="n"/>
      <c r="C87" s="4" t="n"/>
      <c r="D87" s="6" t="n"/>
      <c r="E87" s="6" t="n"/>
      <c r="F87" s="7" t="n"/>
      <c r="G87" s="7" t="n"/>
      <c r="H87" s="7">
        <f>F87-G87</f>
        <v/>
      </c>
      <c r="I87" s="8">
        <f>IF(AND(D87&lt;&gt;"",H87&gt;0),TODAY()-D87,"")</f>
        <v/>
      </c>
      <c r="J87" s="4" t="n"/>
      <c r="K87" s="6" t="n"/>
      <c r="L87" s="5" t="n"/>
    </row>
    <row r="88">
      <c r="A88" s="9" t="n">
        <v>86</v>
      </c>
      <c r="B88" s="10" t="n"/>
      <c r="C88" s="9" t="n"/>
      <c r="D88" s="11" t="n"/>
      <c r="E88" s="11" t="n"/>
      <c r="F88" s="12" t="n"/>
      <c r="G88" s="12" t="n"/>
      <c r="H88" s="12">
        <f>F88-G88</f>
        <v/>
      </c>
      <c r="I88" s="13">
        <f>IF(AND(D88&lt;&gt;"",H88&gt;0),TODAY()-D88,"")</f>
        <v/>
      </c>
      <c r="J88" s="9" t="n"/>
      <c r="K88" s="11" t="n"/>
      <c r="L88" s="10" t="n"/>
    </row>
    <row r="89">
      <c r="A89" s="4" t="n">
        <v>87</v>
      </c>
      <c r="B89" s="5" t="n"/>
      <c r="C89" s="4" t="n"/>
      <c r="D89" s="6" t="n"/>
      <c r="E89" s="6" t="n"/>
      <c r="F89" s="7" t="n"/>
      <c r="G89" s="7" t="n"/>
      <c r="H89" s="7">
        <f>F89-G89</f>
        <v/>
      </c>
      <c r="I89" s="8">
        <f>IF(AND(D89&lt;&gt;"",H89&gt;0),TODAY()-D89,"")</f>
        <v/>
      </c>
      <c r="J89" s="4" t="n"/>
      <c r="K89" s="6" t="n"/>
      <c r="L89" s="5" t="n"/>
    </row>
    <row r="90">
      <c r="A90" s="9" t="n">
        <v>88</v>
      </c>
      <c r="B90" s="10" t="n"/>
      <c r="C90" s="9" t="n"/>
      <c r="D90" s="11" t="n"/>
      <c r="E90" s="11" t="n"/>
      <c r="F90" s="12" t="n"/>
      <c r="G90" s="12" t="n"/>
      <c r="H90" s="12">
        <f>F90-G90</f>
        <v/>
      </c>
      <c r="I90" s="13">
        <f>IF(AND(D90&lt;&gt;"",H90&gt;0),TODAY()-D90,"")</f>
        <v/>
      </c>
      <c r="J90" s="9" t="n"/>
      <c r="K90" s="11" t="n"/>
      <c r="L90" s="10" t="n"/>
    </row>
    <row r="91">
      <c r="A91" s="4" t="n">
        <v>89</v>
      </c>
      <c r="B91" s="5" t="n"/>
      <c r="C91" s="4" t="n"/>
      <c r="D91" s="6" t="n"/>
      <c r="E91" s="6" t="n"/>
      <c r="F91" s="7" t="n"/>
      <c r="G91" s="7" t="n"/>
      <c r="H91" s="7">
        <f>F91-G91</f>
        <v/>
      </c>
      <c r="I91" s="8">
        <f>IF(AND(D91&lt;&gt;"",H91&gt;0),TODAY()-D91,"")</f>
        <v/>
      </c>
      <c r="J91" s="4" t="n"/>
      <c r="K91" s="6" t="n"/>
      <c r="L91" s="5" t="n"/>
    </row>
    <row r="92">
      <c r="A92" s="9" t="n">
        <v>90</v>
      </c>
      <c r="B92" s="10" t="n"/>
      <c r="C92" s="9" t="n"/>
      <c r="D92" s="11" t="n"/>
      <c r="E92" s="11" t="n"/>
      <c r="F92" s="12" t="n"/>
      <c r="G92" s="12" t="n"/>
      <c r="H92" s="12">
        <f>F92-G92</f>
        <v/>
      </c>
      <c r="I92" s="13">
        <f>IF(AND(D92&lt;&gt;"",H92&gt;0),TODAY()-D92,"")</f>
        <v/>
      </c>
      <c r="J92" s="9" t="n"/>
      <c r="K92" s="11" t="n"/>
      <c r="L92" s="10" t="n"/>
    </row>
    <row r="93">
      <c r="A93" s="4" t="n">
        <v>91</v>
      </c>
      <c r="B93" s="5" t="n"/>
      <c r="C93" s="4" t="n"/>
      <c r="D93" s="6" t="n"/>
      <c r="E93" s="6" t="n"/>
      <c r="F93" s="7" t="n"/>
      <c r="G93" s="7" t="n"/>
      <c r="H93" s="7">
        <f>F93-G93</f>
        <v/>
      </c>
      <c r="I93" s="8">
        <f>IF(AND(D93&lt;&gt;"",H93&gt;0),TODAY()-D93,"")</f>
        <v/>
      </c>
      <c r="J93" s="4" t="n"/>
      <c r="K93" s="6" t="n"/>
      <c r="L93" s="5" t="n"/>
    </row>
    <row r="94">
      <c r="A94" s="9" t="n">
        <v>92</v>
      </c>
      <c r="B94" s="10" t="n"/>
      <c r="C94" s="9" t="n"/>
      <c r="D94" s="11" t="n"/>
      <c r="E94" s="11" t="n"/>
      <c r="F94" s="12" t="n"/>
      <c r="G94" s="12" t="n"/>
      <c r="H94" s="12">
        <f>F94-G94</f>
        <v/>
      </c>
      <c r="I94" s="13">
        <f>IF(AND(D94&lt;&gt;"",H94&gt;0),TODAY()-D94,"")</f>
        <v/>
      </c>
      <c r="J94" s="9" t="n"/>
      <c r="K94" s="11" t="n"/>
      <c r="L94" s="10" t="n"/>
    </row>
    <row r="95">
      <c r="A95" s="4" t="n">
        <v>93</v>
      </c>
      <c r="B95" s="5" t="n"/>
      <c r="C95" s="4" t="n"/>
      <c r="D95" s="6" t="n"/>
      <c r="E95" s="6" t="n"/>
      <c r="F95" s="7" t="n"/>
      <c r="G95" s="7" t="n"/>
      <c r="H95" s="7">
        <f>F95-G95</f>
        <v/>
      </c>
      <c r="I95" s="8">
        <f>IF(AND(D95&lt;&gt;"",H95&gt;0),TODAY()-D95,"")</f>
        <v/>
      </c>
      <c r="J95" s="4" t="n"/>
      <c r="K95" s="6" t="n"/>
      <c r="L95" s="5" t="n"/>
    </row>
    <row r="96">
      <c r="A96" s="9" t="n">
        <v>94</v>
      </c>
      <c r="B96" s="10" t="n"/>
      <c r="C96" s="9" t="n"/>
      <c r="D96" s="11" t="n"/>
      <c r="E96" s="11" t="n"/>
      <c r="F96" s="12" t="n"/>
      <c r="G96" s="12" t="n"/>
      <c r="H96" s="12">
        <f>F96-G96</f>
        <v/>
      </c>
      <c r="I96" s="13">
        <f>IF(AND(D96&lt;&gt;"",H96&gt;0),TODAY()-D96,"")</f>
        <v/>
      </c>
      <c r="J96" s="9" t="n"/>
      <c r="K96" s="11" t="n"/>
      <c r="L96" s="10" t="n"/>
    </row>
    <row r="97">
      <c r="A97" s="4" t="n">
        <v>95</v>
      </c>
      <c r="B97" s="5" t="n"/>
      <c r="C97" s="4" t="n"/>
      <c r="D97" s="6" t="n"/>
      <c r="E97" s="6" t="n"/>
      <c r="F97" s="7" t="n"/>
      <c r="G97" s="7" t="n"/>
      <c r="H97" s="7">
        <f>F97-G97</f>
        <v/>
      </c>
      <c r="I97" s="8">
        <f>IF(AND(D97&lt;&gt;"",H97&gt;0),TODAY()-D97,"")</f>
        <v/>
      </c>
      <c r="J97" s="4" t="n"/>
      <c r="K97" s="6" t="n"/>
      <c r="L97" s="5" t="n"/>
    </row>
    <row r="98">
      <c r="A98" s="9" t="n">
        <v>96</v>
      </c>
      <c r="B98" s="10" t="n"/>
      <c r="C98" s="9" t="n"/>
      <c r="D98" s="11" t="n"/>
      <c r="E98" s="11" t="n"/>
      <c r="F98" s="12" t="n"/>
      <c r="G98" s="12" t="n"/>
      <c r="H98" s="12">
        <f>F98-G98</f>
        <v/>
      </c>
      <c r="I98" s="13">
        <f>IF(AND(D98&lt;&gt;"",H98&gt;0),TODAY()-D98,"")</f>
        <v/>
      </c>
      <c r="J98" s="9" t="n"/>
      <c r="K98" s="11" t="n"/>
      <c r="L98" s="10" t="n"/>
    </row>
    <row r="99">
      <c r="A99" s="4" t="n">
        <v>97</v>
      </c>
      <c r="B99" s="5" t="n"/>
      <c r="C99" s="4" t="n"/>
      <c r="D99" s="6" t="n"/>
      <c r="E99" s="6" t="n"/>
      <c r="F99" s="7" t="n"/>
      <c r="G99" s="7" t="n"/>
      <c r="H99" s="7">
        <f>F99-G99</f>
        <v/>
      </c>
      <c r="I99" s="8">
        <f>IF(AND(D99&lt;&gt;"",H99&gt;0),TODAY()-D99,"")</f>
        <v/>
      </c>
      <c r="J99" s="4" t="n"/>
      <c r="K99" s="6" t="n"/>
      <c r="L99" s="5" t="n"/>
    </row>
    <row r="100">
      <c r="A100" s="9" t="n">
        <v>98</v>
      </c>
      <c r="B100" s="10" t="n"/>
      <c r="C100" s="9" t="n"/>
      <c r="D100" s="11" t="n"/>
      <c r="E100" s="11" t="n"/>
      <c r="F100" s="12" t="n"/>
      <c r="G100" s="12" t="n"/>
      <c r="H100" s="12">
        <f>F100-G100</f>
        <v/>
      </c>
      <c r="I100" s="13">
        <f>IF(AND(D100&lt;&gt;"",H100&gt;0),TODAY()-D100,"")</f>
        <v/>
      </c>
      <c r="J100" s="9" t="n"/>
      <c r="K100" s="11" t="n"/>
      <c r="L100" s="10" t="n"/>
    </row>
    <row r="101">
      <c r="A101" s="4" t="n">
        <v>99</v>
      </c>
      <c r="B101" s="5" t="n"/>
      <c r="C101" s="4" t="n"/>
      <c r="D101" s="6" t="n"/>
      <c r="E101" s="6" t="n"/>
      <c r="F101" s="7" t="n"/>
      <c r="G101" s="7" t="n"/>
      <c r="H101" s="7">
        <f>F101-G101</f>
        <v/>
      </c>
      <c r="I101" s="8">
        <f>IF(AND(D101&lt;&gt;"",H101&gt;0),TODAY()-D101,"")</f>
        <v/>
      </c>
      <c r="J101" s="4" t="n"/>
      <c r="K101" s="6" t="n"/>
      <c r="L101" s="5" t="n"/>
    </row>
    <row r="102">
      <c r="A102" s="9" t="n">
        <v>100</v>
      </c>
      <c r="B102" s="10" t="n"/>
      <c r="C102" s="9" t="n"/>
      <c r="D102" s="11" t="n"/>
      <c r="E102" s="11" t="n"/>
      <c r="F102" s="12" t="n"/>
      <c r="G102" s="12" t="n"/>
      <c r="H102" s="12">
        <f>F102-G102</f>
        <v/>
      </c>
      <c r="I102" s="13">
        <f>IF(AND(D102&lt;&gt;"",H102&gt;0),TODAY()-D102,"")</f>
        <v/>
      </c>
      <c r="J102" s="9" t="n"/>
      <c r="K102" s="11" t="n"/>
      <c r="L102" s="10" t="n"/>
    </row>
    <row r="103">
      <c r="A103" s="4" t="n">
        <v>101</v>
      </c>
      <c r="B103" s="5" t="n"/>
      <c r="C103" s="4" t="n"/>
      <c r="D103" s="6" t="n"/>
      <c r="E103" s="6" t="n"/>
      <c r="F103" s="7" t="n"/>
      <c r="G103" s="7" t="n"/>
      <c r="H103" s="7">
        <f>F103-G103</f>
        <v/>
      </c>
      <c r="I103" s="8">
        <f>IF(AND(D103&lt;&gt;"",H103&gt;0),TODAY()-D103,"")</f>
        <v/>
      </c>
      <c r="J103" s="4" t="n"/>
      <c r="K103" s="6" t="n"/>
      <c r="L103" s="5" t="n"/>
    </row>
    <row r="104">
      <c r="A104" s="9" t="n">
        <v>102</v>
      </c>
      <c r="B104" s="10" t="n"/>
      <c r="C104" s="9" t="n"/>
      <c r="D104" s="11" t="n"/>
      <c r="E104" s="11" t="n"/>
      <c r="F104" s="12" t="n"/>
      <c r="G104" s="12" t="n"/>
      <c r="H104" s="12">
        <f>F104-G104</f>
        <v/>
      </c>
      <c r="I104" s="13">
        <f>IF(AND(D104&lt;&gt;"",H104&gt;0),TODAY()-D104,"")</f>
        <v/>
      </c>
      <c r="J104" s="9" t="n"/>
      <c r="K104" s="11" t="n"/>
      <c r="L104" s="10" t="n"/>
    </row>
    <row r="105">
      <c r="A105" s="4" t="n">
        <v>103</v>
      </c>
      <c r="B105" s="5" t="n"/>
      <c r="C105" s="4" t="n"/>
      <c r="D105" s="6" t="n"/>
      <c r="E105" s="6" t="n"/>
      <c r="F105" s="7" t="n"/>
      <c r="G105" s="7" t="n"/>
      <c r="H105" s="7">
        <f>F105-G105</f>
        <v/>
      </c>
      <c r="I105" s="8">
        <f>IF(AND(D105&lt;&gt;"",H105&gt;0),TODAY()-D105,"")</f>
        <v/>
      </c>
      <c r="J105" s="4" t="n"/>
      <c r="K105" s="6" t="n"/>
      <c r="L105" s="5" t="n"/>
    </row>
    <row r="106">
      <c r="A106" s="9" t="n">
        <v>104</v>
      </c>
      <c r="B106" s="10" t="n"/>
      <c r="C106" s="9" t="n"/>
      <c r="D106" s="11" t="n"/>
      <c r="E106" s="11" t="n"/>
      <c r="F106" s="12" t="n"/>
      <c r="G106" s="12" t="n"/>
      <c r="H106" s="12">
        <f>F106-G106</f>
        <v/>
      </c>
      <c r="I106" s="13">
        <f>IF(AND(D106&lt;&gt;"",H106&gt;0),TODAY()-D106,"")</f>
        <v/>
      </c>
      <c r="J106" s="9" t="n"/>
      <c r="K106" s="11" t="n"/>
      <c r="L106" s="10" t="n"/>
    </row>
    <row r="107">
      <c r="A107" s="4" t="n">
        <v>105</v>
      </c>
      <c r="B107" s="5" t="n"/>
      <c r="C107" s="4" t="n"/>
      <c r="D107" s="6" t="n"/>
      <c r="E107" s="6" t="n"/>
      <c r="F107" s="7" t="n"/>
      <c r="G107" s="7" t="n"/>
      <c r="H107" s="7">
        <f>F107-G107</f>
        <v/>
      </c>
      <c r="I107" s="8">
        <f>IF(AND(D107&lt;&gt;"",H107&gt;0),TODAY()-D107,"")</f>
        <v/>
      </c>
      <c r="J107" s="4" t="n"/>
      <c r="K107" s="6" t="n"/>
      <c r="L107" s="5" t="n"/>
    </row>
    <row r="108">
      <c r="A108" s="9" t="n">
        <v>106</v>
      </c>
      <c r="B108" s="10" t="n"/>
      <c r="C108" s="9" t="n"/>
      <c r="D108" s="11" t="n"/>
      <c r="E108" s="11" t="n"/>
      <c r="F108" s="12" t="n"/>
      <c r="G108" s="12" t="n"/>
      <c r="H108" s="12">
        <f>F108-G108</f>
        <v/>
      </c>
      <c r="I108" s="13">
        <f>IF(AND(D108&lt;&gt;"",H108&gt;0),TODAY()-D108,"")</f>
        <v/>
      </c>
      <c r="J108" s="9" t="n"/>
      <c r="K108" s="11" t="n"/>
      <c r="L108" s="10" t="n"/>
    </row>
    <row r="109">
      <c r="A109" s="4" t="n">
        <v>107</v>
      </c>
      <c r="B109" s="5" t="n"/>
      <c r="C109" s="4" t="n"/>
      <c r="D109" s="6" t="n"/>
      <c r="E109" s="6" t="n"/>
      <c r="F109" s="7" t="n"/>
      <c r="G109" s="7" t="n"/>
      <c r="H109" s="7">
        <f>F109-G109</f>
        <v/>
      </c>
      <c r="I109" s="8">
        <f>IF(AND(D109&lt;&gt;"",H109&gt;0),TODAY()-D109,"")</f>
        <v/>
      </c>
      <c r="J109" s="4" t="n"/>
      <c r="K109" s="6" t="n"/>
      <c r="L109" s="5" t="n"/>
    </row>
    <row r="110">
      <c r="A110" s="9" t="n">
        <v>108</v>
      </c>
      <c r="B110" s="10" t="n"/>
      <c r="C110" s="9" t="n"/>
      <c r="D110" s="11" t="n"/>
      <c r="E110" s="11" t="n"/>
      <c r="F110" s="12" t="n"/>
      <c r="G110" s="12" t="n"/>
      <c r="H110" s="12">
        <f>F110-G110</f>
        <v/>
      </c>
      <c r="I110" s="13">
        <f>IF(AND(D110&lt;&gt;"",H110&gt;0),TODAY()-D110,"")</f>
        <v/>
      </c>
      <c r="J110" s="9" t="n"/>
      <c r="K110" s="11" t="n"/>
      <c r="L110" s="10" t="n"/>
    </row>
    <row r="111">
      <c r="A111" s="4" t="n">
        <v>109</v>
      </c>
      <c r="B111" s="5" t="n"/>
      <c r="C111" s="4" t="n"/>
      <c r="D111" s="6" t="n"/>
      <c r="E111" s="6" t="n"/>
      <c r="F111" s="7" t="n"/>
      <c r="G111" s="7" t="n"/>
      <c r="H111" s="7">
        <f>F111-G111</f>
        <v/>
      </c>
      <c r="I111" s="8">
        <f>IF(AND(D111&lt;&gt;"",H111&gt;0),TODAY()-D111,"")</f>
        <v/>
      </c>
      <c r="J111" s="4" t="n"/>
      <c r="K111" s="6" t="n"/>
      <c r="L111" s="5" t="n"/>
    </row>
    <row r="112">
      <c r="A112" s="9" t="n">
        <v>110</v>
      </c>
      <c r="B112" s="10" t="n"/>
      <c r="C112" s="9" t="n"/>
      <c r="D112" s="11" t="n"/>
      <c r="E112" s="11" t="n"/>
      <c r="F112" s="12" t="n"/>
      <c r="G112" s="12" t="n"/>
      <c r="H112" s="12">
        <f>F112-G112</f>
        <v/>
      </c>
      <c r="I112" s="13">
        <f>IF(AND(D112&lt;&gt;"",H112&gt;0),TODAY()-D112,"")</f>
        <v/>
      </c>
      <c r="J112" s="9" t="n"/>
      <c r="K112" s="11" t="n"/>
      <c r="L112" s="10" t="n"/>
    </row>
    <row r="113">
      <c r="A113" s="4" t="n">
        <v>111</v>
      </c>
      <c r="B113" s="5" t="n"/>
      <c r="C113" s="4" t="n"/>
      <c r="D113" s="6" t="n"/>
      <c r="E113" s="6" t="n"/>
      <c r="F113" s="7" t="n"/>
      <c r="G113" s="7" t="n"/>
      <c r="H113" s="7">
        <f>F113-G113</f>
        <v/>
      </c>
      <c r="I113" s="8">
        <f>IF(AND(D113&lt;&gt;"",H113&gt;0),TODAY()-D113,"")</f>
        <v/>
      </c>
      <c r="J113" s="4" t="n"/>
      <c r="K113" s="6" t="n"/>
      <c r="L113" s="5" t="n"/>
    </row>
    <row r="114">
      <c r="A114" s="9" t="n">
        <v>112</v>
      </c>
      <c r="B114" s="10" t="n"/>
      <c r="C114" s="9" t="n"/>
      <c r="D114" s="11" t="n"/>
      <c r="E114" s="11" t="n"/>
      <c r="F114" s="12" t="n"/>
      <c r="G114" s="12" t="n"/>
      <c r="H114" s="12">
        <f>F114-G114</f>
        <v/>
      </c>
      <c r="I114" s="13">
        <f>IF(AND(D114&lt;&gt;"",H114&gt;0),TODAY()-D114,"")</f>
        <v/>
      </c>
      <c r="J114" s="9" t="n"/>
      <c r="K114" s="11" t="n"/>
      <c r="L114" s="10" t="n"/>
    </row>
    <row r="115">
      <c r="A115" s="4" t="n">
        <v>113</v>
      </c>
      <c r="B115" s="5" t="n"/>
      <c r="C115" s="4" t="n"/>
      <c r="D115" s="6" t="n"/>
      <c r="E115" s="6" t="n"/>
      <c r="F115" s="7" t="n"/>
      <c r="G115" s="7" t="n"/>
      <c r="H115" s="7">
        <f>F115-G115</f>
        <v/>
      </c>
      <c r="I115" s="8">
        <f>IF(AND(D115&lt;&gt;"",H115&gt;0),TODAY()-D115,"")</f>
        <v/>
      </c>
      <c r="J115" s="4" t="n"/>
      <c r="K115" s="6" t="n"/>
      <c r="L115" s="5" t="n"/>
    </row>
    <row r="116">
      <c r="A116" s="9" t="n">
        <v>114</v>
      </c>
      <c r="B116" s="10" t="n"/>
      <c r="C116" s="9" t="n"/>
      <c r="D116" s="11" t="n"/>
      <c r="E116" s="11" t="n"/>
      <c r="F116" s="12" t="n"/>
      <c r="G116" s="12" t="n"/>
      <c r="H116" s="12">
        <f>F116-G116</f>
        <v/>
      </c>
      <c r="I116" s="13">
        <f>IF(AND(D116&lt;&gt;"",H116&gt;0),TODAY()-D116,"")</f>
        <v/>
      </c>
      <c r="J116" s="9" t="n"/>
      <c r="K116" s="11" t="n"/>
      <c r="L116" s="10" t="n"/>
    </row>
    <row r="117">
      <c r="A117" s="4" t="n">
        <v>115</v>
      </c>
      <c r="B117" s="5" t="n"/>
      <c r="C117" s="4" t="n"/>
      <c r="D117" s="6" t="n"/>
      <c r="E117" s="6" t="n"/>
      <c r="F117" s="7" t="n"/>
      <c r="G117" s="7" t="n"/>
      <c r="H117" s="7">
        <f>F117-G117</f>
        <v/>
      </c>
      <c r="I117" s="8">
        <f>IF(AND(D117&lt;&gt;"",H117&gt;0),TODAY()-D117,"")</f>
        <v/>
      </c>
      <c r="J117" s="4" t="n"/>
      <c r="K117" s="6" t="n"/>
      <c r="L117" s="5" t="n"/>
    </row>
    <row r="118">
      <c r="A118" s="9" t="n">
        <v>116</v>
      </c>
      <c r="B118" s="10" t="n"/>
      <c r="C118" s="9" t="n"/>
      <c r="D118" s="11" t="n"/>
      <c r="E118" s="11" t="n"/>
      <c r="F118" s="12" t="n"/>
      <c r="G118" s="12" t="n"/>
      <c r="H118" s="12">
        <f>F118-G118</f>
        <v/>
      </c>
      <c r="I118" s="13">
        <f>IF(AND(D118&lt;&gt;"",H118&gt;0),TODAY()-D118,"")</f>
        <v/>
      </c>
      <c r="J118" s="9" t="n"/>
      <c r="K118" s="11" t="n"/>
      <c r="L118" s="10" t="n"/>
    </row>
    <row r="119">
      <c r="A119" s="4" t="n">
        <v>117</v>
      </c>
      <c r="B119" s="5" t="n"/>
      <c r="C119" s="4" t="n"/>
      <c r="D119" s="6" t="n"/>
      <c r="E119" s="6" t="n"/>
      <c r="F119" s="7" t="n"/>
      <c r="G119" s="7" t="n"/>
      <c r="H119" s="7">
        <f>F119-G119</f>
        <v/>
      </c>
      <c r="I119" s="8">
        <f>IF(AND(D119&lt;&gt;"",H119&gt;0),TODAY()-D119,"")</f>
        <v/>
      </c>
      <c r="J119" s="4" t="n"/>
      <c r="K119" s="6" t="n"/>
      <c r="L119" s="5" t="n"/>
    </row>
    <row r="120">
      <c r="A120" s="9" t="n">
        <v>118</v>
      </c>
      <c r="B120" s="10" t="n"/>
      <c r="C120" s="9" t="n"/>
      <c r="D120" s="11" t="n"/>
      <c r="E120" s="11" t="n"/>
      <c r="F120" s="12" t="n"/>
      <c r="G120" s="12" t="n"/>
      <c r="H120" s="12">
        <f>F120-G120</f>
        <v/>
      </c>
      <c r="I120" s="13">
        <f>IF(AND(D120&lt;&gt;"",H120&gt;0),TODAY()-D120,"")</f>
        <v/>
      </c>
      <c r="J120" s="9" t="n"/>
      <c r="K120" s="11" t="n"/>
      <c r="L120" s="10" t="n"/>
    </row>
    <row r="121">
      <c r="A121" s="4" t="n">
        <v>119</v>
      </c>
      <c r="B121" s="5" t="n"/>
      <c r="C121" s="4" t="n"/>
      <c r="D121" s="6" t="n"/>
      <c r="E121" s="6" t="n"/>
      <c r="F121" s="7" t="n"/>
      <c r="G121" s="7" t="n"/>
      <c r="H121" s="7">
        <f>F121-G121</f>
        <v/>
      </c>
      <c r="I121" s="8">
        <f>IF(AND(D121&lt;&gt;"",H121&gt;0),TODAY()-D121,"")</f>
        <v/>
      </c>
      <c r="J121" s="4" t="n"/>
      <c r="K121" s="6" t="n"/>
      <c r="L121" s="5" t="n"/>
    </row>
    <row r="122">
      <c r="A122" s="9" t="n">
        <v>120</v>
      </c>
      <c r="B122" s="10" t="n"/>
      <c r="C122" s="9" t="n"/>
      <c r="D122" s="11" t="n"/>
      <c r="E122" s="11" t="n"/>
      <c r="F122" s="12" t="n"/>
      <c r="G122" s="12" t="n"/>
      <c r="H122" s="12">
        <f>F122-G122</f>
        <v/>
      </c>
      <c r="I122" s="13">
        <f>IF(AND(D122&lt;&gt;"",H122&gt;0),TODAY()-D122,"")</f>
        <v/>
      </c>
      <c r="J122" s="9" t="n"/>
      <c r="K122" s="11" t="n"/>
      <c r="L122" s="10" t="n"/>
    </row>
    <row r="123">
      <c r="A123" s="4" t="n">
        <v>121</v>
      </c>
      <c r="B123" s="5" t="n"/>
      <c r="C123" s="4" t="n"/>
      <c r="D123" s="6" t="n"/>
      <c r="E123" s="6" t="n"/>
      <c r="F123" s="7" t="n"/>
      <c r="G123" s="7" t="n"/>
      <c r="H123" s="7">
        <f>F123-G123</f>
        <v/>
      </c>
      <c r="I123" s="8">
        <f>IF(AND(D123&lt;&gt;"",H123&gt;0),TODAY()-D123,"")</f>
        <v/>
      </c>
      <c r="J123" s="4" t="n"/>
      <c r="K123" s="6" t="n"/>
      <c r="L123" s="5" t="n"/>
    </row>
    <row r="124">
      <c r="A124" s="9" t="n">
        <v>122</v>
      </c>
      <c r="B124" s="10" t="n"/>
      <c r="C124" s="9" t="n"/>
      <c r="D124" s="11" t="n"/>
      <c r="E124" s="11" t="n"/>
      <c r="F124" s="12" t="n"/>
      <c r="G124" s="12" t="n"/>
      <c r="H124" s="12">
        <f>F124-G124</f>
        <v/>
      </c>
      <c r="I124" s="13">
        <f>IF(AND(D124&lt;&gt;"",H124&gt;0),TODAY()-D124,"")</f>
        <v/>
      </c>
      <c r="J124" s="9" t="n"/>
      <c r="K124" s="11" t="n"/>
      <c r="L124" s="10" t="n"/>
    </row>
    <row r="125">
      <c r="A125" s="4" t="n">
        <v>123</v>
      </c>
      <c r="B125" s="5" t="n"/>
      <c r="C125" s="4" t="n"/>
      <c r="D125" s="6" t="n"/>
      <c r="E125" s="6" t="n"/>
      <c r="F125" s="7" t="n"/>
      <c r="G125" s="7" t="n"/>
      <c r="H125" s="7">
        <f>F125-G125</f>
        <v/>
      </c>
      <c r="I125" s="8">
        <f>IF(AND(D125&lt;&gt;"",H125&gt;0),TODAY()-D125,"")</f>
        <v/>
      </c>
      <c r="J125" s="4" t="n"/>
      <c r="K125" s="6" t="n"/>
      <c r="L125" s="5" t="n"/>
    </row>
    <row r="126">
      <c r="A126" s="9" t="n">
        <v>124</v>
      </c>
      <c r="B126" s="10" t="n"/>
      <c r="C126" s="9" t="n"/>
      <c r="D126" s="11" t="n"/>
      <c r="E126" s="11" t="n"/>
      <c r="F126" s="12" t="n"/>
      <c r="G126" s="12" t="n"/>
      <c r="H126" s="12">
        <f>F126-G126</f>
        <v/>
      </c>
      <c r="I126" s="13">
        <f>IF(AND(D126&lt;&gt;"",H126&gt;0),TODAY()-D126,"")</f>
        <v/>
      </c>
      <c r="J126" s="9" t="n"/>
      <c r="K126" s="11" t="n"/>
      <c r="L126" s="10" t="n"/>
    </row>
    <row r="127">
      <c r="A127" s="4" t="n">
        <v>125</v>
      </c>
      <c r="B127" s="5" t="n"/>
      <c r="C127" s="4" t="n"/>
      <c r="D127" s="6" t="n"/>
      <c r="E127" s="6" t="n"/>
      <c r="F127" s="7" t="n"/>
      <c r="G127" s="7" t="n"/>
      <c r="H127" s="7">
        <f>F127-G127</f>
        <v/>
      </c>
      <c r="I127" s="8">
        <f>IF(AND(D127&lt;&gt;"",H127&gt;0),TODAY()-D127,"")</f>
        <v/>
      </c>
      <c r="J127" s="4" t="n"/>
      <c r="K127" s="6" t="n"/>
      <c r="L127" s="5" t="n"/>
    </row>
    <row r="128">
      <c r="A128" s="9" t="n">
        <v>126</v>
      </c>
      <c r="B128" s="10" t="n"/>
      <c r="C128" s="9" t="n"/>
      <c r="D128" s="11" t="n"/>
      <c r="E128" s="11" t="n"/>
      <c r="F128" s="12" t="n"/>
      <c r="G128" s="12" t="n"/>
      <c r="H128" s="12">
        <f>F128-G128</f>
        <v/>
      </c>
      <c r="I128" s="13">
        <f>IF(AND(D128&lt;&gt;"",H128&gt;0),TODAY()-D128,"")</f>
        <v/>
      </c>
      <c r="J128" s="9" t="n"/>
      <c r="K128" s="11" t="n"/>
      <c r="L128" s="10" t="n"/>
    </row>
    <row r="129">
      <c r="A129" s="4" t="n">
        <v>127</v>
      </c>
      <c r="B129" s="5" t="n"/>
      <c r="C129" s="4" t="n"/>
      <c r="D129" s="6" t="n"/>
      <c r="E129" s="6" t="n"/>
      <c r="F129" s="7" t="n"/>
      <c r="G129" s="7" t="n"/>
      <c r="H129" s="7">
        <f>F129-G129</f>
        <v/>
      </c>
      <c r="I129" s="8">
        <f>IF(AND(D129&lt;&gt;"",H129&gt;0),TODAY()-D129,"")</f>
        <v/>
      </c>
      <c r="J129" s="4" t="n"/>
      <c r="K129" s="6" t="n"/>
      <c r="L129" s="5" t="n"/>
    </row>
    <row r="130">
      <c r="A130" s="9" t="n">
        <v>128</v>
      </c>
      <c r="B130" s="10" t="n"/>
      <c r="C130" s="9" t="n"/>
      <c r="D130" s="11" t="n"/>
      <c r="E130" s="11" t="n"/>
      <c r="F130" s="12" t="n"/>
      <c r="G130" s="12" t="n"/>
      <c r="H130" s="12">
        <f>F130-G130</f>
        <v/>
      </c>
      <c r="I130" s="13">
        <f>IF(AND(D130&lt;&gt;"",H130&gt;0),TODAY()-D130,"")</f>
        <v/>
      </c>
      <c r="J130" s="9" t="n"/>
      <c r="K130" s="11" t="n"/>
      <c r="L130" s="10" t="n"/>
    </row>
    <row r="131">
      <c r="A131" s="4" t="n">
        <v>129</v>
      </c>
      <c r="B131" s="5" t="n"/>
      <c r="C131" s="4" t="n"/>
      <c r="D131" s="6" t="n"/>
      <c r="E131" s="6" t="n"/>
      <c r="F131" s="7" t="n"/>
      <c r="G131" s="7" t="n"/>
      <c r="H131" s="7">
        <f>F131-G131</f>
        <v/>
      </c>
      <c r="I131" s="8">
        <f>IF(AND(D131&lt;&gt;"",H131&gt;0),TODAY()-D131,"")</f>
        <v/>
      </c>
      <c r="J131" s="4" t="n"/>
      <c r="K131" s="6" t="n"/>
      <c r="L131" s="5" t="n"/>
    </row>
    <row r="132">
      <c r="A132" s="9" t="n">
        <v>130</v>
      </c>
      <c r="B132" s="10" t="n"/>
      <c r="C132" s="9" t="n"/>
      <c r="D132" s="11" t="n"/>
      <c r="E132" s="11" t="n"/>
      <c r="F132" s="12" t="n"/>
      <c r="G132" s="12" t="n"/>
      <c r="H132" s="12">
        <f>F132-G132</f>
        <v/>
      </c>
      <c r="I132" s="13">
        <f>IF(AND(D132&lt;&gt;"",H132&gt;0),TODAY()-D132,"")</f>
        <v/>
      </c>
      <c r="J132" s="9" t="n"/>
      <c r="K132" s="11" t="n"/>
      <c r="L132" s="10" t="n"/>
    </row>
    <row r="133">
      <c r="A133" s="4" t="n">
        <v>131</v>
      </c>
      <c r="B133" s="5" t="n"/>
      <c r="C133" s="4" t="n"/>
      <c r="D133" s="6" t="n"/>
      <c r="E133" s="6" t="n"/>
      <c r="F133" s="7" t="n"/>
      <c r="G133" s="7" t="n"/>
      <c r="H133" s="7">
        <f>F133-G133</f>
        <v/>
      </c>
      <c r="I133" s="8">
        <f>IF(AND(D133&lt;&gt;"",H133&gt;0),TODAY()-D133,"")</f>
        <v/>
      </c>
      <c r="J133" s="4" t="n"/>
      <c r="K133" s="6" t="n"/>
      <c r="L133" s="5" t="n"/>
    </row>
    <row r="134">
      <c r="A134" s="9" t="n">
        <v>132</v>
      </c>
      <c r="B134" s="10" t="n"/>
      <c r="C134" s="9" t="n"/>
      <c r="D134" s="11" t="n"/>
      <c r="E134" s="11" t="n"/>
      <c r="F134" s="12" t="n"/>
      <c r="G134" s="12" t="n"/>
      <c r="H134" s="12">
        <f>F134-G134</f>
        <v/>
      </c>
      <c r="I134" s="13">
        <f>IF(AND(D134&lt;&gt;"",H134&gt;0),TODAY()-D134,"")</f>
        <v/>
      </c>
      <c r="J134" s="9" t="n"/>
      <c r="K134" s="11" t="n"/>
      <c r="L134" s="10" t="n"/>
    </row>
    <row r="135">
      <c r="A135" s="4" t="n">
        <v>133</v>
      </c>
      <c r="B135" s="5" t="n"/>
      <c r="C135" s="4" t="n"/>
      <c r="D135" s="6" t="n"/>
      <c r="E135" s="6" t="n"/>
      <c r="F135" s="7" t="n"/>
      <c r="G135" s="7" t="n"/>
      <c r="H135" s="7">
        <f>F135-G135</f>
        <v/>
      </c>
      <c r="I135" s="8">
        <f>IF(AND(D135&lt;&gt;"",H135&gt;0),TODAY()-D135,"")</f>
        <v/>
      </c>
      <c r="J135" s="4" t="n"/>
      <c r="K135" s="6" t="n"/>
      <c r="L135" s="5" t="n"/>
    </row>
    <row r="136">
      <c r="A136" s="9" t="n">
        <v>134</v>
      </c>
      <c r="B136" s="10" t="n"/>
      <c r="C136" s="9" t="n"/>
      <c r="D136" s="11" t="n"/>
      <c r="E136" s="11" t="n"/>
      <c r="F136" s="12" t="n"/>
      <c r="G136" s="12" t="n"/>
      <c r="H136" s="12">
        <f>F136-G136</f>
        <v/>
      </c>
      <c r="I136" s="13">
        <f>IF(AND(D136&lt;&gt;"",H136&gt;0),TODAY()-D136,"")</f>
        <v/>
      </c>
      <c r="J136" s="9" t="n"/>
      <c r="K136" s="11" t="n"/>
      <c r="L136" s="10" t="n"/>
    </row>
    <row r="137">
      <c r="A137" s="4" t="n">
        <v>135</v>
      </c>
      <c r="B137" s="5" t="n"/>
      <c r="C137" s="4" t="n"/>
      <c r="D137" s="6" t="n"/>
      <c r="E137" s="6" t="n"/>
      <c r="F137" s="7" t="n"/>
      <c r="G137" s="7" t="n"/>
      <c r="H137" s="7">
        <f>F137-G137</f>
        <v/>
      </c>
      <c r="I137" s="8">
        <f>IF(AND(D137&lt;&gt;"",H137&gt;0),TODAY()-D137,"")</f>
        <v/>
      </c>
      <c r="J137" s="4" t="n"/>
      <c r="K137" s="6" t="n"/>
      <c r="L137" s="5" t="n"/>
    </row>
    <row r="138">
      <c r="A138" s="9" t="n">
        <v>136</v>
      </c>
      <c r="B138" s="10" t="n"/>
      <c r="C138" s="9" t="n"/>
      <c r="D138" s="11" t="n"/>
      <c r="E138" s="11" t="n"/>
      <c r="F138" s="12" t="n"/>
      <c r="G138" s="12" t="n"/>
      <c r="H138" s="12">
        <f>F138-G138</f>
        <v/>
      </c>
      <c r="I138" s="13">
        <f>IF(AND(D138&lt;&gt;"",H138&gt;0),TODAY()-D138,"")</f>
        <v/>
      </c>
      <c r="J138" s="9" t="n"/>
      <c r="K138" s="11" t="n"/>
      <c r="L138" s="10" t="n"/>
    </row>
    <row r="139">
      <c r="A139" s="4" t="n">
        <v>137</v>
      </c>
      <c r="B139" s="5" t="n"/>
      <c r="C139" s="4" t="n"/>
      <c r="D139" s="6" t="n"/>
      <c r="E139" s="6" t="n"/>
      <c r="F139" s="7" t="n"/>
      <c r="G139" s="7" t="n"/>
      <c r="H139" s="7">
        <f>F139-G139</f>
        <v/>
      </c>
      <c r="I139" s="8">
        <f>IF(AND(D139&lt;&gt;"",H139&gt;0),TODAY()-D139,"")</f>
        <v/>
      </c>
      <c r="J139" s="4" t="n"/>
      <c r="K139" s="6" t="n"/>
      <c r="L139" s="5" t="n"/>
    </row>
    <row r="140">
      <c r="A140" s="9" t="n">
        <v>138</v>
      </c>
      <c r="B140" s="10" t="n"/>
      <c r="C140" s="9" t="n"/>
      <c r="D140" s="11" t="n"/>
      <c r="E140" s="11" t="n"/>
      <c r="F140" s="12" t="n"/>
      <c r="G140" s="12" t="n"/>
      <c r="H140" s="12">
        <f>F140-G140</f>
        <v/>
      </c>
      <c r="I140" s="13">
        <f>IF(AND(D140&lt;&gt;"",H140&gt;0),TODAY()-D140,"")</f>
        <v/>
      </c>
      <c r="J140" s="9" t="n"/>
      <c r="K140" s="11" t="n"/>
      <c r="L140" s="10" t="n"/>
    </row>
    <row r="141">
      <c r="A141" s="4" t="n">
        <v>139</v>
      </c>
      <c r="B141" s="5" t="n"/>
      <c r="C141" s="4" t="n"/>
      <c r="D141" s="6" t="n"/>
      <c r="E141" s="6" t="n"/>
      <c r="F141" s="7" t="n"/>
      <c r="G141" s="7" t="n"/>
      <c r="H141" s="7">
        <f>F141-G141</f>
        <v/>
      </c>
      <c r="I141" s="8">
        <f>IF(AND(D141&lt;&gt;"",H141&gt;0),TODAY()-D141,"")</f>
        <v/>
      </c>
      <c r="J141" s="4" t="n"/>
      <c r="K141" s="6" t="n"/>
      <c r="L141" s="5" t="n"/>
    </row>
    <row r="142">
      <c r="A142" s="9" t="n">
        <v>140</v>
      </c>
      <c r="B142" s="10" t="n"/>
      <c r="C142" s="9" t="n"/>
      <c r="D142" s="11" t="n"/>
      <c r="E142" s="11" t="n"/>
      <c r="F142" s="12" t="n"/>
      <c r="G142" s="12" t="n"/>
      <c r="H142" s="12">
        <f>F142-G142</f>
        <v/>
      </c>
      <c r="I142" s="13">
        <f>IF(AND(D142&lt;&gt;"",H142&gt;0),TODAY()-D142,"")</f>
        <v/>
      </c>
      <c r="J142" s="9" t="n"/>
      <c r="K142" s="11" t="n"/>
      <c r="L142" s="10" t="n"/>
    </row>
    <row r="143">
      <c r="A143" s="4" t="n">
        <v>141</v>
      </c>
      <c r="B143" s="5" t="n"/>
      <c r="C143" s="4" t="n"/>
      <c r="D143" s="6" t="n"/>
      <c r="E143" s="6" t="n"/>
      <c r="F143" s="7" t="n"/>
      <c r="G143" s="7" t="n"/>
      <c r="H143" s="7">
        <f>F143-G143</f>
        <v/>
      </c>
      <c r="I143" s="8">
        <f>IF(AND(D143&lt;&gt;"",H143&gt;0),TODAY()-D143,"")</f>
        <v/>
      </c>
      <c r="J143" s="4" t="n"/>
      <c r="K143" s="6" t="n"/>
      <c r="L143" s="5" t="n"/>
    </row>
    <row r="144">
      <c r="A144" s="9" t="n">
        <v>142</v>
      </c>
      <c r="B144" s="10" t="n"/>
      <c r="C144" s="9" t="n"/>
      <c r="D144" s="11" t="n"/>
      <c r="E144" s="11" t="n"/>
      <c r="F144" s="12" t="n"/>
      <c r="G144" s="12" t="n"/>
      <c r="H144" s="12">
        <f>F144-G144</f>
        <v/>
      </c>
      <c r="I144" s="13">
        <f>IF(AND(D144&lt;&gt;"",H144&gt;0),TODAY()-D144,"")</f>
        <v/>
      </c>
      <c r="J144" s="9" t="n"/>
      <c r="K144" s="11" t="n"/>
      <c r="L144" s="10" t="n"/>
    </row>
    <row r="145">
      <c r="A145" s="4" t="n">
        <v>143</v>
      </c>
      <c r="B145" s="5" t="n"/>
      <c r="C145" s="4" t="n"/>
      <c r="D145" s="6" t="n"/>
      <c r="E145" s="6" t="n"/>
      <c r="F145" s="7" t="n"/>
      <c r="G145" s="7" t="n"/>
      <c r="H145" s="7">
        <f>F145-G145</f>
        <v/>
      </c>
      <c r="I145" s="8">
        <f>IF(AND(D145&lt;&gt;"",H145&gt;0),TODAY()-D145,"")</f>
        <v/>
      </c>
      <c r="J145" s="4" t="n"/>
      <c r="K145" s="6" t="n"/>
      <c r="L145" s="5" t="n"/>
    </row>
    <row r="146">
      <c r="A146" s="9" t="n">
        <v>144</v>
      </c>
      <c r="B146" s="10" t="n"/>
      <c r="C146" s="9" t="n"/>
      <c r="D146" s="11" t="n"/>
      <c r="E146" s="11" t="n"/>
      <c r="F146" s="12" t="n"/>
      <c r="G146" s="12" t="n"/>
      <c r="H146" s="12">
        <f>F146-G146</f>
        <v/>
      </c>
      <c r="I146" s="13">
        <f>IF(AND(D146&lt;&gt;"",H146&gt;0),TODAY()-D146,"")</f>
        <v/>
      </c>
      <c r="J146" s="9" t="n"/>
      <c r="K146" s="11" t="n"/>
      <c r="L146" s="10" t="n"/>
    </row>
    <row r="147">
      <c r="A147" s="4" t="n">
        <v>145</v>
      </c>
      <c r="B147" s="5" t="n"/>
      <c r="C147" s="4" t="n"/>
      <c r="D147" s="6" t="n"/>
      <c r="E147" s="6" t="n"/>
      <c r="F147" s="7" t="n"/>
      <c r="G147" s="7" t="n"/>
      <c r="H147" s="7">
        <f>F147-G147</f>
        <v/>
      </c>
      <c r="I147" s="8">
        <f>IF(AND(D147&lt;&gt;"",H147&gt;0),TODAY()-D147,"")</f>
        <v/>
      </c>
      <c r="J147" s="4" t="n"/>
      <c r="K147" s="6" t="n"/>
      <c r="L147" s="5" t="n"/>
    </row>
    <row r="148">
      <c r="A148" s="9" t="n">
        <v>146</v>
      </c>
      <c r="B148" s="10" t="n"/>
      <c r="C148" s="9" t="n"/>
      <c r="D148" s="11" t="n"/>
      <c r="E148" s="11" t="n"/>
      <c r="F148" s="12" t="n"/>
      <c r="G148" s="12" t="n"/>
      <c r="H148" s="12">
        <f>F148-G148</f>
        <v/>
      </c>
      <c r="I148" s="13">
        <f>IF(AND(D148&lt;&gt;"",H148&gt;0),TODAY()-D148,"")</f>
        <v/>
      </c>
      <c r="J148" s="9" t="n"/>
      <c r="K148" s="11" t="n"/>
      <c r="L148" s="10" t="n"/>
    </row>
    <row r="149">
      <c r="A149" s="4" t="n">
        <v>147</v>
      </c>
      <c r="B149" s="5" t="n"/>
      <c r="C149" s="4" t="n"/>
      <c r="D149" s="6" t="n"/>
      <c r="E149" s="6" t="n"/>
      <c r="F149" s="7" t="n"/>
      <c r="G149" s="7" t="n"/>
      <c r="H149" s="7">
        <f>F149-G149</f>
        <v/>
      </c>
      <c r="I149" s="8">
        <f>IF(AND(D149&lt;&gt;"",H149&gt;0),TODAY()-D149,"")</f>
        <v/>
      </c>
      <c r="J149" s="4" t="n"/>
      <c r="K149" s="6" t="n"/>
      <c r="L149" s="5" t="n"/>
    </row>
    <row r="150">
      <c r="A150" s="9" t="n">
        <v>148</v>
      </c>
      <c r="B150" s="10" t="n"/>
      <c r="C150" s="9" t="n"/>
      <c r="D150" s="11" t="n"/>
      <c r="E150" s="11" t="n"/>
      <c r="F150" s="12" t="n"/>
      <c r="G150" s="12" t="n"/>
      <c r="H150" s="12">
        <f>F150-G150</f>
        <v/>
      </c>
      <c r="I150" s="13">
        <f>IF(AND(D150&lt;&gt;"",H150&gt;0),TODAY()-D150,"")</f>
        <v/>
      </c>
      <c r="J150" s="9" t="n"/>
      <c r="K150" s="11" t="n"/>
      <c r="L150" s="10" t="n"/>
    </row>
    <row r="151">
      <c r="A151" s="4" t="n">
        <v>149</v>
      </c>
      <c r="B151" s="5" t="n"/>
      <c r="C151" s="4" t="n"/>
      <c r="D151" s="6" t="n"/>
      <c r="E151" s="6" t="n"/>
      <c r="F151" s="7" t="n"/>
      <c r="G151" s="7" t="n"/>
      <c r="H151" s="7">
        <f>F151-G151</f>
        <v/>
      </c>
      <c r="I151" s="8">
        <f>IF(AND(D151&lt;&gt;"",H151&gt;0),TODAY()-D151,"")</f>
        <v/>
      </c>
      <c r="J151" s="4" t="n"/>
      <c r="K151" s="6" t="n"/>
      <c r="L151" s="5" t="n"/>
    </row>
    <row r="152">
      <c r="A152" s="9" t="n">
        <v>150</v>
      </c>
      <c r="B152" s="10" t="n"/>
      <c r="C152" s="9" t="n"/>
      <c r="D152" s="11" t="n"/>
      <c r="E152" s="11" t="n"/>
      <c r="F152" s="12" t="n"/>
      <c r="G152" s="12" t="n"/>
      <c r="H152" s="12">
        <f>F152-G152</f>
        <v/>
      </c>
      <c r="I152" s="13">
        <f>IF(AND(D152&lt;&gt;"",H152&gt;0),TODAY()-D152,"")</f>
        <v/>
      </c>
      <c r="J152" s="9" t="n"/>
      <c r="K152" s="11" t="n"/>
      <c r="L152" s="10" t="n"/>
    </row>
    <row r="153">
      <c r="A153" s="4" t="n">
        <v>151</v>
      </c>
      <c r="B153" s="5" t="n"/>
      <c r="C153" s="4" t="n"/>
      <c r="D153" s="6" t="n"/>
      <c r="E153" s="6" t="n"/>
      <c r="F153" s="7" t="n"/>
      <c r="G153" s="7" t="n"/>
      <c r="H153" s="7">
        <f>F153-G153</f>
        <v/>
      </c>
      <c r="I153" s="8">
        <f>IF(AND(D153&lt;&gt;"",H153&gt;0),TODAY()-D153,"")</f>
        <v/>
      </c>
      <c r="J153" s="4" t="n"/>
      <c r="K153" s="6" t="n"/>
      <c r="L153" s="5" t="n"/>
    </row>
    <row r="154">
      <c r="A154" s="9" t="n">
        <v>152</v>
      </c>
      <c r="B154" s="10" t="n"/>
      <c r="C154" s="9" t="n"/>
      <c r="D154" s="11" t="n"/>
      <c r="E154" s="11" t="n"/>
      <c r="F154" s="12" t="n"/>
      <c r="G154" s="12" t="n"/>
      <c r="H154" s="12">
        <f>F154-G154</f>
        <v/>
      </c>
      <c r="I154" s="13">
        <f>IF(AND(D154&lt;&gt;"",H154&gt;0),TODAY()-D154,"")</f>
        <v/>
      </c>
      <c r="J154" s="9" t="n"/>
      <c r="K154" s="11" t="n"/>
      <c r="L154" s="10" t="n"/>
    </row>
    <row r="155">
      <c r="A155" s="4" t="n">
        <v>153</v>
      </c>
      <c r="B155" s="5" t="n"/>
      <c r="C155" s="4" t="n"/>
      <c r="D155" s="6" t="n"/>
      <c r="E155" s="6" t="n"/>
      <c r="F155" s="7" t="n"/>
      <c r="G155" s="7" t="n"/>
      <c r="H155" s="7">
        <f>F155-G155</f>
        <v/>
      </c>
      <c r="I155" s="8">
        <f>IF(AND(D155&lt;&gt;"",H155&gt;0),TODAY()-D155,"")</f>
        <v/>
      </c>
      <c r="J155" s="4" t="n"/>
      <c r="K155" s="6" t="n"/>
      <c r="L155" s="5" t="n"/>
    </row>
    <row r="156">
      <c r="A156" s="9" t="n">
        <v>154</v>
      </c>
      <c r="B156" s="10" t="n"/>
      <c r="C156" s="9" t="n"/>
      <c r="D156" s="11" t="n"/>
      <c r="E156" s="11" t="n"/>
      <c r="F156" s="12" t="n"/>
      <c r="G156" s="12" t="n"/>
      <c r="H156" s="12">
        <f>F156-G156</f>
        <v/>
      </c>
      <c r="I156" s="13">
        <f>IF(AND(D156&lt;&gt;"",H156&gt;0),TODAY()-D156,"")</f>
        <v/>
      </c>
      <c r="J156" s="9" t="n"/>
      <c r="K156" s="11" t="n"/>
      <c r="L156" s="10" t="n"/>
    </row>
    <row r="157">
      <c r="A157" s="4" t="n">
        <v>155</v>
      </c>
      <c r="B157" s="5" t="n"/>
      <c r="C157" s="4" t="n"/>
      <c r="D157" s="6" t="n"/>
      <c r="E157" s="6" t="n"/>
      <c r="F157" s="7" t="n"/>
      <c r="G157" s="7" t="n"/>
      <c r="H157" s="7">
        <f>F157-G157</f>
        <v/>
      </c>
      <c r="I157" s="8">
        <f>IF(AND(D157&lt;&gt;"",H157&gt;0),TODAY()-D157,"")</f>
        <v/>
      </c>
      <c r="J157" s="4" t="n"/>
      <c r="K157" s="6" t="n"/>
      <c r="L157" s="5" t="n"/>
    </row>
    <row r="158">
      <c r="A158" s="9" t="n">
        <v>156</v>
      </c>
      <c r="B158" s="10" t="n"/>
      <c r="C158" s="9" t="n"/>
      <c r="D158" s="11" t="n"/>
      <c r="E158" s="11" t="n"/>
      <c r="F158" s="12" t="n"/>
      <c r="G158" s="12" t="n"/>
      <c r="H158" s="12">
        <f>F158-G158</f>
        <v/>
      </c>
      <c r="I158" s="13">
        <f>IF(AND(D158&lt;&gt;"",H158&gt;0),TODAY()-D158,"")</f>
        <v/>
      </c>
      <c r="J158" s="9" t="n"/>
      <c r="K158" s="11" t="n"/>
      <c r="L158" s="10" t="n"/>
    </row>
    <row r="159">
      <c r="A159" s="4" t="n">
        <v>157</v>
      </c>
      <c r="B159" s="5" t="n"/>
      <c r="C159" s="4" t="n"/>
      <c r="D159" s="6" t="n"/>
      <c r="E159" s="6" t="n"/>
      <c r="F159" s="7" t="n"/>
      <c r="G159" s="7" t="n"/>
      <c r="H159" s="7">
        <f>F159-G159</f>
        <v/>
      </c>
      <c r="I159" s="8">
        <f>IF(AND(D159&lt;&gt;"",H159&gt;0),TODAY()-D159,"")</f>
        <v/>
      </c>
      <c r="J159" s="4" t="n"/>
      <c r="K159" s="6" t="n"/>
      <c r="L159" s="5" t="n"/>
    </row>
    <row r="160">
      <c r="A160" s="9" t="n">
        <v>158</v>
      </c>
      <c r="B160" s="10" t="n"/>
      <c r="C160" s="9" t="n"/>
      <c r="D160" s="11" t="n"/>
      <c r="E160" s="11" t="n"/>
      <c r="F160" s="12" t="n"/>
      <c r="G160" s="12" t="n"/>
      <c r="H160" s="12">
        <f>F160-G160</f>
        <v/>
      </c>
      <c r="I160" s="13">
        <f>IF(AND(D160&lt;&gt;"",H160&gt;0),TODAY()-D160,"")</f>
        <v/>
      </c>
      <c r="J160" s="9" t="n"/>
      <c r="K160" s="11" t="n"/>
      <c r="L160" s="10" t="n"/>
    </row>
    <row r="161">
      <c r="A161" s="4" t="n">
        <v>159</v>
      </c>
      <c r="B161" s="5" t="n"/>
      <c r="C161" s="4" t="n"/>
      <c r="D161" s="6" t="n"/>
      <c r="E161" s="6" t="n"/>
      <c r="F161" s="7" t="n"/>
      <c r="G161" s="7" t="n"/>
      <c r="H161" s="7">
        <f>F161-G161</f>
        <v/>
      </c>
      <c r="I161" s="8">
        <f>IF(AND(D161&lt;&gt;"",H161&gt;0),TODAY()-D161,"")</f>
        <v/>
      </c>
      <c r="J161" s="4" t="n"/>
      <c r="K161" s="6" t="n"/>
      <c r="L161" s="5" t="n"/>
    </row>
    <row r="162">
      <c r="A162" s="9" t="n">
        <v>160</v>
      </c>
      <c r="B162" s="10" t="n"/>
      <c r="C162" s="9" t="n"/>
      <c r="D162" s="11" t="n"/>
      <c r="E162" s="11" t="n"/>
      <c r="F162" s="12" t="n"/>
      <c r="G162" s="12" t="n"/>
      <c r="H162" s="12">
        <f>F162-G162</f>
        <v/>
      </c>
      <c r="I162" s="13">
        <f>IF(AND(D162&lt;&gt;"",H162&gt;0),TODAY()-D162,"")</f>
        <v/>
      </c>
      <c r="J162" s="9" t="n"/>
      <c r="K162" s="11" t="n"/>
      <c r="L162" s="10" t="n"/>
    </row>
    <row r="163">
      <c r="A163" s="4" t="n">
        <v>161</v>
      </c>
      <c r="B163" s="5" t="n"/>
      <c r="C163" s="4" t="n"/>
      <c r="D163" s="6" t="n"/>
      <c r="E163" s="6" t="n"/>
      <c r="F163" s="7" t="n"/>
      <c r="G163" s="7" t="n"/>
      <c r="H163" s="7">
        <f>F163-G163</f>
        <v/>
      </c>
      <c r="I163" s="8">
        <f>IF(AND(D163&lt;&gt;"",H163&gt;0),TODAY()-D163,"")</f>
        <v/>
      </c>
      <c r="J163" s="4" t="n"/>
      <c r="K163" s="6" t="n"/>
      <c r="L163" s="5" t="n"/>
    </row>
    <row r="164">
      <c r="A164" s="9" t="n">
        <v>162</v>
      </c>
      <c r="B164" s="10" t="n"/>
      <c r="C164" s="9" t="n"/>
      <c r="D164" s="11" t="n"/>
      <c r="E164" s="11" t="n"/>
      <c r="F164" s="12" t="n"/>
      <c r="G164" s="12" t="n"/>
      <c r="H164" s="12">
        <f>F164-G164</f>
        <v/>
      </c>
      <c r="I164" s="13">
        <f>IF(AND(D164&lt;&gt;"",H164&gt;0),TODAY()-D164,"")</f>
        <v/>
      </c>
      <c r="J164" s="9" t="n"/>
      <c r="K164" s="11" t="n"/>
      <c r="L164" s="10" t="n"/>
    </row>
    <row r="165">
      <c r="A165" s="4" t="n">
        <v>163</v>
      </c>
      <c r="B165" s="5" t="n"/>
      <c r="C165" s="4" t="n"/>
      <c r="D165" s="6" t="n"/>
      <c r="E165" s="6" t="n"/>
      <c r="F165" s="7" t="n"/>
      <c r="G165" s="7" t="n"/>
      <c r="H165" s="7">
        <f>F165-G165</f>
        <v/>
      </c>
      <c r="I165" s="8">
        <f>IF(AND(D165&lt;&gt;"",H165&gt;0),TODAY()-D165,"")</f>
        <v/>
      </c>
      <c r="J165" s="4" t="n"/>
      <c r="K165" s="6" t="n"/>
      <c r="L165" s="5" t="n"/>
    </row>
    <row r="166">
      <c r="A166" s="9" t="n">
        <v>164</v>
      </c>
      <c r="B166" s="10" t="n"/>
      <c r="C166" s="9" t="n"/>
      <c r="D166" s="11" t="n"/>
      <c r="E166" s="11" t="n"/>
      <c r="F166" s="12" t="n"/>
      <c r="G166" s="12" t="n"/>
      <c r="H166" s="12">
        <f>F166-G166</f>
        <v/>
      </c>
      <c r="I166" s="13">
        <f>IF(AND(D166&lt;&gt;"",H166&gt;0),TODAY()-D166,"")</f>
        <v/>
      </c>
      <c r="J166" s="9" t="n"/>
      <c r="K166" s="11" t="n"/>
      <c r="L166" s="10" t="n"/>
    </row>
    <row r="167">
      <c r="A167" s="4" t="n">
        <v>165</v>
      </c>
      <c r="B167" s="5" t="n"/>
      <c r="C167" s="4" t="n"/>
      <c r="D167" s="6" t="n"/>
      <c r="E167" s="6" t="n"/>
      <c r="F167" s="7" t="n"/>
      <c r="G167" s="7" t="n"/>
      <c r="H167" s="7">
        <f>F167-G167</f>
        <v/>
      </c>
      <c r="I167" s="8">
        <f>IF(AND(D167&lt;&gt;"",H167&gt;0),TODAY()-D167,"")</f>
        <v/>
      </c>
      <c r="J167" s="4" t="n"/>
      <c r="K167" s="6" t="n"/>
      <c r="L167" s="5" t="n"/>
    </row>
    <row r="168">
      <c r="A168" s="9" t="n">
        <v>166</v>
      </c>
      <c r="B168" s="10" t="n"/>
      <c r="C168" s="9" t="n"/>
      <c r="D168" s="11" t="n"/>
      <c r="E168" s="11" t="n"/>
      <c r="F168" s="12" t="n"/>
      <c r="G168" s="12" t="n"/>
      <c r="H168" s="12">
        <f>F168-G168</f>
        <v/>
      </c>
      <c r="I168" s="13">
        <f>IF(AND(D168&lt;&gt;"",H168&gt;0),TODAY()-D168,"")</f>
        <v/>
      </c>
      <c r="J168" s="9" t="n"/>
      <c r="K168" s="11" t="n"/>
      <c r="L168" s="10" t="n"/>
    </row>
    <row r="169">
      <c r="A169" s="4" t="n">
        <v>167</v>
      </c>
      <c r="B169" s="5" t="n"/>
      <c r="C169" s="4" t="n"/>
      <c r="D169" s="6" t="n"/>
      <c r="E169" s="6" t="n"/>
      <c r="F169" s="7" t="n"/>
      <c r="G169" s="7" t="n"/>
      <c r="H169" s="7">
        <f>F169-G169</f>
        <v/>
      </c>
      <c r="I169" s="8">
        <f>IF(AND(D169&lt;&gt;"",H169&gt;0),TODAY()-D169,"")</f>
        <v/>
      </c>
      <c r="J169" s="4" t="n"/>
      <c r="K169" s="6" t="n"/>
      <c r="L169" s="5" t="n"/>
    </row>
    <row r="170">
      <c r="A170" s="9" t="n">
        <v>168</v>
      </c>
      <c r="B170" s="10" t="n"/>
      <c r="C170" s="9" t="n"/>
      <c r="D170" s="11" t="n"/>
      <c r="E170" s="11" t="n"/>
      <c r="F170" s="12" t="n"/>
      <c r="G170" s="12" t="n"/>
      <c r="H170" s="12">
        <f>F170-G170</f>
        <v/>
      </c>
      <c r="I170" s="13">
        <f>IF(AND(D170&lt;&gt;"",H170&gt;0),TODAY()-D170,"")</f>
        <v/>
      </c>
      <c r="J170" s="9" t="n"/>
      <c r="K170" s="11" t="n"/>
      <c r="L170" s="10" t="n"/>
    </row>
    <row r="171">
      <c r="A171" s="4" t="n">
        <v>169</v>
      </c>
      <c r="B171" s="5" t="n"/>
      <c r="C171" s="4" t="n"/>
      <c r="D171" s="6" t="n"/>
      <c r="E171" s="6" t="n"/>
      <c r="F171" s="7" t="n"/>
      <c r="G171" s="7" t="n"/>
      <c r="H171" s="7">
        <f>F171-G171</f>
        <v/>
      </c>
      <c r="I171" s="8">
        <f>IF(AND(D171&lt;&gt;"",H171&gt;0),TODAY()-D171,"")</f>
        <v/>
      </c>
      <c r="J171" s="4" t="n"/>
      <c r="K171" s="6" t="n"/>
      <c r="L171" s="5" t="n"/>
    </row>
    <row r="172">
      <c r="A172" s="9" t="n">
        <v>170</v>
      </c>
      <c r="B172" s="10" t="n"/>
      <c r="C172" s="9" t="n"/>
      <c r="D172" s="11" t="n"/>
      <c r="E172" s="11" t="n"/>
      <c r="F172" s="12" t="n"/>
      <c r="G172" s="12" t="n"/>
      <c r="H172" s="12">
        <f>F172-G172</f>
        <v/>
      </c>
      <c r="I172" s="13">
        <f>IF(AND(D172&lt;&gt;"",H172&gt;0),TODAY()-D172,"")</f>
        <v/>
      </c>
      <c r="J172" s="9" t="n"/>
      <c r="K172" s="11" t="n"/>
      <c r="L172" s="10" t="n"/>
    </row>
    <row r="173">
      <c r="A173" s="4" t="n">
        <v>171</v>
      </c>
      <c r="B173" s="5" t="n"/>
      <c r="C173" s="4" t="n"/>
      <c r="D173" s="6" t="n"/>
      <c r="E173" s="6" t="n"/>
      <c r="F173" s="7" t="n"/>
      <c r="G173" s="7" t="n"/>
      <c r="H173" s="7">
        <f>F173-G173</f>
        <v/>
      </c>
      <c r="I173" s="8">
        <f>IF(AND(D173&lt;&gt;"",H173&gt;0),TODAY()-D173,"")</f>
        <v/>
      </c>
      <c r="J173" s="4" t="n"/>
      <c r="K173" s="6" t="n"/>
      <c r="L173" s="5" t="n"/>
    </row>
    <row r="174">
      <c r="A174" s="9" t="n">
        <v>172</v>
      </c>
      <c r="B174" s="10" t="n"/>
      <c r="C174" s="9" t="n"/>
      <c r="D174" s="11" t="n"/>
      <c r="E174" s="11" t="n"/>
      <c r="F174" s="12" t="n"/>
      <c r="G174" s="12" t="n"/>
      <c r="H174" s="12">
        <f>F174-G174</f>
        <v/>
      </c>
      <c r="I174" s="13">
        <f>IF(AND(D174&lt;&gt;"",H174&gt;0),TODAY()-D174,"")</f>
        <v/>
      </c>
      <c r="J174" s="9" t="n"/>
      <c r="K174" s="11" t="n"/>
      <c r="L174" s="10" t="n"/>
    </row>
    <row r="175">
      <c r="A175" s="4" t="n">
        <v>173</v>
      </c>
      <c r="B175" s="5" t="n"/>
      <c r="C175" s="4" t="n"/>
      <c r="D175" s="6" t="n"/>
      <c r="E175" s="6" t="n"/>
      <c r="F175" s="7" t="n"/>
      <c r="G175" s="7" t="n"/>
      <c r="H175" s="7">
        <f>F175-G175</f>
        <v/>
      </c>
      <c r="I175" s="8">
        <f>IF(AND(D175&lt;&gt;"",H175&gt;0),TODAY()-D175,"")</f>
        <v/>
      </c>
      <c r="J175" s="4" t="n"/>
      <c r="K175" s="6" t="n"/>
      <c r="L175" s="5" t="n"/>
    </row>
    <row r="176">
      <c r="A176" s="9" t="n">
        <v>174</v>
      </c>
      <c r="B176" s="10" t="n"/>
      <c r="C176" s="9" t="n"/>
      <c r="D176" s="11" t="n"/>
      <c r="E176" s="11" t="n"/>
      <c r="F176" s="12" t="n"/>
      <c r="G176" s="12" t="n"/>
      <c r="H176" s="12">
        <f>F176-G176</f>
        <v/>
      </c>
      <c r="I176" s="13">
        <f>IF(AND(D176&lt;&gt;"",H176&gt;0),TODAY()-D176,"")</f>
        <v/>
      </c>
      <c r="J176" s="9" t="n"/>
      <c r="K176" s="11" t="n"/>
      <c r="L176" s="10" t="n"/>
    </row>
    <row r="177">
      <c r="A177" s="4" t="n">
        <v>175</v>
      </c>
      <c r="B177" s="5" t="n"/>
      <c r="C177" s="4" t="n"/>
      <c r="D177" s="6" t="n"/>
      <c r="E177" s="6" t="n"/>
      <c r="F177" s="7" t="n"/>
      <c r="G177" s="7" t="n"/>
      <c r="H177" s="7">
        <f>F177-G177</f>
        <v/>
      </c>
      <c r="I177" s="8">
        <f>IF(AND(D177&lt;&gt;"",H177&gt;0),TODAY()-D177,"")</f>
        <v/>
      </c>
      <c r="J177" s="4" t="n"/>
      <c r="K177" s="6" t="n"/>
      <c r="L177" s="5" t="n"/>
    </row>
    <row r="178">
      <c r="A178" s="9" t="n">
        <v>176</v>
      </c>
      <c r="B178" s="10" t="n"/>
      <c r="C178" s="9" t="n"/>
      <c r="D178" s="11" t="n"/>
      <c r="E178" s="11" t="n"/>
      <c r="F178" s="12" t="n"/>
      <c r="G178" s="12" t="n"/>
      <c r="H178" s="12">
        <f>F178-G178</f>
        <v/>
      </c>
      <c r="I178" s="13">
        <f>IF(AND(D178&lt;&gt;"",H178&gt;0),TODAY()-D178,"")</f>
        <v/>
      </c>
      <c r="J178" s="9" t="n"/>
      <c r="K178" s="11" t="n"/>
      <c r="L178" s="10" t="n"/>
    </row>
    <row r="179">
      <c r="A179" s="4" t="n">
        <v>177</v>
      </c>
      <c r="B179" s="5" t="n"/>
      <c r="C179" s="4" t="n"/>
      <c r="D179" s="6" t="n"/>
      <c r="E179" s="6" t="n"/>
      <c r="F179" s="7" t="n"/>
      <c r="G179" s="7" t="n"/>
      <c r="H179" s="7">
        <f>F179-G179</f>
        <v/>
      </c>
      <c r="I179" s="8">
        <f>IF(AND(D179&lt;&gt;"",H179&gt;0),TODAY()-D179,"")</f>
        <v/>
      </c>
      <c r="J179" s="4" t="n"/>
      <c r="K179" s="6" t="n"/>
      <c r="L179" s="5" t="n"/>
    </row>
    <row r="180">
      <c r="A180" s="9" t="n">
        <v>178</v>
      </c>
      <c r="B180" s="10" t="n"/>
      <c r="C180" s="9" t="n"/>
      <c r="D180" s="11" t="n"/>
      <c r="E180" s="11" t="n"/>
      <c r="F180" s="12" t="n"/>
      <c r="G180" s="12" t="n"/>
      <c r="H180" s="12">
        <f>F180-G180</f>
        <v/>
      </c>
      <c r="I180" s="13">
        <f>IF(AND(D180&lt;&gt;"",H180&gt;0),TODAY()-D180,"")</f>
        <v/>
      </c>
      <c r="J180" s="9" t="n"/>
      <c r="K180" s="11" t="n"/>
      <c r="L180" s="10" t="n"/>
    </row>
    <row r="181">
      <c r="A181" s="4" t="n">
        <v>179</v>
      </c>
      <c r="B181" s="5" t="n"/>
      <c r="C181" s="4" t="n"/>
      <c r="D181" s="6" t="n"/>
      <c r="E181" s="6" t="n"/>
      <c r="F181" s="7" t="n"/>
      <c r="G181" s="7" t="n"/>
      <c r="H181" s="7">
        <f>F181-G181</f>
        <v/>
      </c>
      <c r="I181" s="8">
        <f>IF(AND(D181&lt;&gt;"",H181&gt;0),TODAY()-D181,"")</f>
        <v/>
      </c>
      <c r="J181" s="4" t="n"/>
      <c r="K181" s="6" t="n"/>
      <c r="L181" s="5" t="n"/>
    </row>
    <row r="182">
      <c r="A182" s="9" t="n">
        <v>180</v>
      </c>
      <c r="B182" s="10" t="n"/>
      <c r="C182" s="9" t="n"/>
      <c r="D182" s="11" t="n"/>
      <c r="E182" s="11" t="n"/>
      <c r="F182" s="12" t="n"/>
      <c r="G182" s="12" t="n"/>
      <c r="H182" s="12">
        <f>F182-G182</f>
        <v/>
      </c>
      <c r="I182" s="13">
        <f>IF(AND(D182&lt;&gt;"",H182&gt;0),TODAY()-D182,"")</f>
        <v/>
      </c>
      <c r="J182" s="9" t="n"/>
      <c r="K182" s="11" t="n"/>
      <c r="L182" s="10" t="n"/>
    </row>
    <row r="183">
      <c r="A183" s="4" t="n">
        <v>181</v>
      </c>
      <c r="B183" s="5" t="n"/>
      <c r="C183" s="4" t="n"/>
      <c r="D183" s="6" t="n"/>
      <c r="E183" s="6" t="n"/>
      <c r="F183" s="7" t="n"/>
      <c r="G183" s="7" t="n"/>
      <c r="H183" s="7">
        <f>F183-G183</f>
        <v/>
      </c>
      <c r="I183" s="8">
        <f>IF(AND(D183&lt;&gt;"",H183&gt;0),TODAY()-D183,"")</f>
        <v/>
      </c>
      <c r="J183" s="4" t="n"/>
      <c r="K183" s="6" t="n"/>
      <c r="L183" s="5" t="n"/>
    </row>
    <row r="184">
      <c r="A184" s="9" t="n">
        <v>182</v>
      </c>
      <c r="B184" s="10" t="n"/>
      <c r="C184" s="9" t="n"/>
      <c r="D184" s="11" t="n"/>
      <c r="E184" s="11" t="n"/>
      <c r="F184" s="12" t="n"/>
      <c r="G184" s="12" t="n"/>
      <c r="H184" s="12">
        <f>F184-G184</f>
        <v/>
      </c>
      <c r="I184" s="13">
        <f>IF(AND(D184&lt;&gt;"",H184&gt;0),TODAY()-D184,"")</f>
        <v/>
      </c>
      <c r="J184" s="9" t="n"/>
      <c r="K184" s="11" t="n"/>
      <c r="L184" s="10" t="n"/>
    </row>
    <row r="185">
      <c r="A185" s="4" t="n">
        <v>183</v>
      </c>
      <c r="B185" s="5" t="n"/>
      <c r="C185" s="4" t="n"/>
      <c r="D185" s="6" t="n"/>
      <c r="E185" s="6" t="n"/>
      <c r="F185" s="7" t="n"/>
      <c r="G185" s="7" t="n"/>
      <c r="H185" s="7">
        <f>F185-G185</f>
        <v/>
      </c>
      <c r="I185" s="8">
        <f>IF(AND(D185&lt;&gt;"",H185&gt;0),TODAY()-D185,"")</f>
        <v/>
      </c>
      <c r="J185" s="4" t="n"/>
      <c r="K185" s="6" t="n"/>
      <c r="L185" s="5" t="n"/>
    </row>
    <row r="186">
      <c r="A186" s="9" t="n">
        <v>184</v>
      </c>
      <c r="B186" s="10" t="n"/>
      <c r="C186" s="9" t="n"/>
      <c r="D186" s="11" t="n"/>
      <c r="E186" s="11" t="n"/>
      <c r="F186" s="12" t="n"/>
      <c r="G186" s="12" t="n"/>
      <c r="H186" s="12">
        <f>F186-G186</f>
        <v/>
      </c>
      <c r="I186" s="13">
        <f>IF(AND(D186&lt;&gt;"",H186&gt;0),TODAY()-D186,"")</f>
        <v/>
      </c>
      <c r="J186" s="9" t="n"/>
      <c r="K186" s="11" t="n"/>
      <c r="L186" s="10" t="n"/>
    </row>
    <row r="187">
      <c r="A187" s="4" t="n">
        <v>185</v>
      </c>
      <c r="B187" s="5" t="n"/>
      <c r="C187" s="4" t="n"/>
      <c r="D187" s="6" t="n"/>
      <c r="E187" s="6" t="n"/>
      <c r="F187" s="7" t="n"/>
      <c r="G187" s="7" t="n"/>
      <c r="H187" s="7">
        <f>F187-G187</f>
        <v/>
      </c>
      <c r="I187" s="8">
        <f>IF(AND(D187&lt;&gt;"",H187&gt;0),TODAY()-D187,"")</f>
        <v/>
      </c>
      <c r="J187" s="4" t="n"/>
      <c r="K187" s="6" t="n"/>
      <c r="L187" s="5" t="n"/>
    </row>
    <row r="188">
      <c r="A188" s="9" t="n">
        <v>186</v>
      </c>
      <c r="B188" s="10" t="n"/>
      <c r="C188" s="9" t="n"/>
      <c r="D188" s="11" t="n"/>
      <c r="E188" s="11" t="n"/>
      <c r="F188" s="12" t="n"/>
      <c r="G188" s="12" t="n"/>
      <c r="H188" s="12">
        <f>F188-G188</f>
        <v/>
      </c>
      <c r="I188" s="13">
        <f>IF(AND(D188&lt;&gt;"",H188&gt;0),TODAY()-D188,"")</f>
        <v/>
      </c>
      <c r="J188" s="9" t="n"/>
      <c r="K188" s="11" t="n"/>
      <c r="L188" s="10" t="n"/>
    </row>
    <row r="189">
      <c r="A189" s="4" t="n">
        <v>187</v>
      </c>
      <c r="B189" s="5" t="n"/>
      <c r="C189" s="4" t="n"/>
      <c r="D189" s="6" t="n"/>
      <c r="E189" s="6" t="n"/>
      <c r="F189" s="7" t="n"/>
      <c r="G189" s="7" t="n"/>
      <c r="H189" s="7">
        <f>F189-G189</f>
        <v/>
      </c>
      <c r="I189" s="8">
        <f>IF(AND(D189&lt;&gt;"",H189&gt;0),TODAY()-D189,"")</f>
        <v/>
      </c>
      <c r="J189" s="4" t="n"/>
      <c r="K189" s="6" t="n"/>
      <c r="L189" s="5" t="n"/>
    </row>
    <row r="190">
      <c r="A190" s="9" t="n">
        <v>188</v>
      </c>
      <c r="B190" s="10" t="n"/>
      <c r="C190" s="9" t="n"/>
      <c r="D190" s="11" t="n"/>
      <c r="E190" s="11" t="n"/>
      <c r="F190" s="12" t="n"/>
      <c r="G190" s="12" t="n"/>
      <c r="H190" s="12">
        <f>F190-G190</f>
        <v/>
      </c>
      <c r="I190" s="13">
        <f>IF(AND(D190&lt;&gt;"",H190&gt;0),TODAY()-D190,"")</f>
        <v/>
      </c>
      <c r="J190" s="9" t="n"/>
      <c r="K190" s="11" t="n"/>
      <c r="L190" s="10" t="n"/>
    </row>
    <row r="191">
      <c r="A191" s="4" t="n">
        <v>189</v>
      </c>
      <c r="B191" s="5" t="n"/>
      <c r="C191" s="4" t="n"/>
      <c r="D191" s="6" t="n"/>
      <c r="E191" s="6" t="n"/>
      <c r="F191" s="7" t="n"/>
      <c r="G191" s="7" t="n"/>
      <c r="H191" s="7">
        <f>F191-G191</f>
        <v/>
      </c>
      <c r="I191" s="8">
        <f>IF(AND(D191&lt;&gt;"",H191&gt;0),TODAY()-D191,"")</f>
        <v/>
      </c>
      <c r="J191" s="4" t="n"/>
      <c r="K191" s="6" t="n"/>
      <c r="L191" s="5" t="n"/>
    </row>
    <row r="192">
      <c r="A192" s="9" t="n">
        <v>190</v>
      </c>
      <c r="B192" s="10" t="n"/>
      <c r="C192" s="9" t="n"/>
      <c r="D192" s="11" t="n"/>
      <c r="E192" s="11" t="n"/>
      <c r="F192" s="12" t="n"/>
      <c r="G192" s="12" t="n"/>
      <c r="H192" s="12">
        <f>F192-G192</f>
        <v/>
      </c>
      <c r="I192" s="13">
        <f>IF(AND(D192&lt;&gt;"",H192&gt;0),TODAY()-D192,"")</f>
        <v/>
      </c>
      <c r="J192" s="9" t="n"/>
      <c r="K192" s="11" t="n"/>
      <c r="L192" s="10" t="n"/>
    </row>
    <row r="193">
      <c r="A193" s="4" t="n">
        <v>191</v>
      </c>
      <c r="B193" s="5" t="n"/>
      <c r="C193" s="4" t="n"/>
      <c r="D193" s="6" t="n"/>
      <c r="E193" s="6" t="n"/>
      <c r="F193" s="7" t="n"/>
      <c r="G193" s="7" t="n"/>
      <c r="H193" s="7">
        <f>F193-G193</f>
        <v/>
      </c>
      <c r="I193" s="8">
        <f>IF(AND(D193&lt;&gt;"",H193&gt;0),TODAY()-D193,"")</f>
        <v/>
      </c>
      <c r="J193" s="4" t="n"/>
      <c r="K193" s="6" t="n"/>
      <c r="L193" s="5" t="n"/>
    </row>
    <row r="194">
      <c r="A194" s="9" t="n">
        <v>192</v>
      </c>
      <c r="B194" s="10" t="n"/>
      <c r="C194" s="9" t="n"/>
      <c r="D194" s="11" t="n"/>
      <c r="E194" s="11" t="n"/>
      <c r="F194" s="12" t="n"/>
      <c r="G194" s="12" t="n"/>
      <c r="H194" s="12">
        <f>F194-G194</f>
        <v/>
      </c>
      <c r="I194" s="13">
        <f>IF(AND(D194&lt;&gt;"",H194&gt;0),TODAY()-D194,"")</f>
        <v/>
      </c>
      <c r="J194" s="9" t="n"/>
      <c r="K194" s="11" t="n"/>
      <c r="L194" s="10" t="n"/>
    </row>
    <row r="195">
      <c r="A195" s="4" t="n">
        <v>193</v>
      </c>
      <c r="B195" s="5" t="n"/>
      <c r="C195" s="4" t="n"/>
      <c r="D195" s="6" t="n"/>
      <c r="E195" s="6" t="n"/>
      <c r="F195" s="7" t="n"/>
      <c r="G195" s="7" t="n"/>
      <c r="H195" s="7">
        <f>F195-G195</f>
        <v/>
      </c>
      <c r="I195" s="8">
        <f>IF(AND(D195&lt;&gt;"",H195&gt;0),TODAY()-D195,"")</f>
        <v/>
      </c>
      <c r="J195" s="4" t="n"/>
      <c r="K195" s="6" t="n"/>
      <c r="L195" s="5" t="n"/>
    </row>
    <row r="196">
      <c r="A196" s="9" t="n">
        <v>194</v>
      </c>
      <c r="B196" s="10" t="n"/>
      <c r="C196" s="9" t="n"/>
      <c r="D196" s="11" t="n"/>
      <c r="E196" s="11" t="n"/>
      <c r="F196" s="12" t="n"/>
      <c r="G196" s="12" t="n"/>
      <c r="H196" s="12">
        <f>F196-G196</f>
        <v/>
      </c>
      <c r="I196" s="13">
        <f>IF(AND(D196&lt;&gt;"",H196&gt;0),TODAY()-D196,"")</f>
        <v/>
      </c>
      <c r="J196" s="9" t="n"/>
      <c r="K196" s="11" t="n"/>
      <c r="L196" s="10" t="n"/>
    </row>
    <row r="197">
      <c r="A197" s="4" t="n">
        <v>195</v>
      </c>
      <c r="B197" s="5" t="n"/>
      <c r="C197" s="4" t="n"/>
      <c r="D197" s="6" t="n"/>
      <c r="E197" s="6" t="n"/>
      <c r="F197" s="7" t="n"/>
      <c r="G197" s="7" t="n"/>
      <c r="H197" s="7">
        <f>F197-G197</f>
        <v/>
      </c>
      <c r="I197" s="8">
        <f>IF(AND(D197&lt;&gt;"",H197&gt;0),TODAY()-D197,"")</f>
        <v/>
      </c>
      <c r="J197" s="4" t="n"/>
      <c r="K197" s="6" t="n"/>
      <c r="L197" s="5" t="n"/>
    </row>
    <row r="198">
      <c r="A198" s="9" t="n">
        <v>196</v>
      </c>
      <c r="B198" s="10" t="n"/>
      <c r="C198" s="9" t="n"/>
      <c r="D198" s="11" t="n"/>
      <c r="E198" s="11" t="n"/>
      <c r="F198" s="12" t="n"/>
      <c r="G198" s="12" t="n"/>
      <c r="H198" s="12">
        <f>F198-G198</f>
        <v/>
      </c>
      <c r="I198" s="13">
        <f>IF(AND(D198&lt;&gt;"",H198&gt;0),TODAY()-D198,"")</f>
        <v/>
      </c>
      <c r="J198" s="9" t="n"/>
      <c r="K198" s="11" t="n"/>
      <c r="L198" s="10" t="n"/>
    </row>
    <row r="199">
      <c r="A199" s="4" t="n">
        <v>197</v>
      </c>
      <c r="B199" s="5" t="n"/>
      <c r="C199" s="4" t="n"/>
      <c r="D199" s="6" t="n"/>
      <c r="E199" s="6" t="n"/>
      <c r="F199" s="7" t="n"/>
      <c r="G199" s="7" t="n"/>
      <c r="H199" s="7">
        <f>F199-G199</f>
        <v/>
      </c>
      <c r="I199" s="8">
        <f>IF(AND(D199&lt;&gt;"",H199&gt;0),TODAY()-D199,"")</f>
        <v/>
      </c>
      <c r="J199" s="4" t="n"/>
      <c r="K199" s="6" t="n"/>
      <c r="L199" s="5" t="n"/>
    </row>
    <row r="200">
      <c r="A200" s="9" t="n">
        <v>198</v>
      </c>
      <c r="B200" s="10" t="n"/>
      <c r="C200" s="9" t="n"/>
      <c r="D200" s="11" t="n"/>
      <c r="E200" s="11" t="n"/>
      <c r="F200" s="12" t="n"/>
      <c r="G200" s="12" t="n"/>
      <c r="H200" s="12">
        <f>F200-G200</f>
        <v/>
      </c>
      <c r="I200" s="13">
        <f>IF(AND(D200&lt;&gt;"",H200&gt;0),TODAY()-D200,"")</f>
        <v/>
      </c>
      <c r="J200" s="9" t="n"/>
      <c r="K200" s="11" t="n"/>
      <c r="L200" s="10" t="n"/>
    </row>
    <row r="201">
      <c r="A201" s="4" t="n">
        <v>199</v>
      </c>
      <c r="B201" s="5" t="n"/>
      <c r="C201" s="4" t="n"/>
      <c r="D201" s="6" t="n"/>
      <c r="E201" s="6" t="n"/>
      <c r="F201" s="7" t="n"/>
      <c r="G201" s="7" t="n"/>
      <c r="H201" s="7">
        <f>F201-G201</f>
        <v/>
      </c>
      <c r="I201" s="8">
        <f>IF(AND(D201&lt;&gt;"",H201&gt;0),TODAY()-D201,"")</f>
        <v/>
      </c>
      <c r="J201" s="4" t="n"/>
      <c r="K201" s="6" t="n"/>
      <c r="L201" s="5" t="n"/>
    </row>
    <row r="202">
      <c r="A202" s="9" t="n">
        <v>200</v>
      </c>
      <c r="B202" s="10" t="n"/>
      <c r="C202" s="9" t="n"/>
      <c r="D202" s="11" t="n"/>
      <c r="E202" s="11" t="n"/>
      <c r="F202" s="12" t="n"/>
      <c r="G202" s="12" t="n"/>
      <c r="H202" s="12">
        <f>F202-G202</f>
        <v/>
      </c>
      <c r="I202" s="13">
        <f>IF(AND(D202&lt;&gt;"",H202&gt;0),TODAY()-D202,"")</f>
        <v/>
      </c>
      <c r="J202" s="9" t="n"/>
      <c r="K202" s="11" t="n"/>
      <c r="L202" s="10" t="n"/>
    </row>
    <row r="203">
      <c r="A203" s="14" t="inlineStr">
        <is>
          <t>TOTAL</t>
        </is>
      </c>
      <c r="B203" s="15" t="n"/>
      <c r="C203" s="15" t="n"/>
      <c r="D203" s="15" t="n"/>
      <c r="E203" s="15" t="n"/>
      <c r="F203" s="16">
        <f>SUM(F3:F202)</f>
        <v/>
      </c>
      <c r="G203" s="16">
        <f>SUM(G3:G202)</f>
        <v/>
      </c>
      <c r="H203" s="16">
        <f>SUM(H3:H202)</f>
        <v/>
      </c>
      <c r="I203" s="15" t="n"/>
      <c r="J203" s="15" t="n"/>
      <c r="K203" s="15" t="n"/>
      <c r="L203" s="15" t="n"/>
    </row>
  </sheetData>
  <mergeCells count="2">
    <mergeCell ref="A203:E203"/>
    <mergeCell ref="A1:L1"/>
  </mergeCells>
  <conditionalFormatting sqref="J3:J202">
    <cfRule type="cellIs" priority="1" operator="equal" dxfId="0">
      <formula>"Current"</formula>
    </cfRule>
    <cfRule type="cellIs" priority="2" operator="equal" dxfId="1">
      <formula>"30 Days"</formula>
    </cfRule>
    <cfRule type="cellIs" priority="3" operator="equal" dxfId="2">
      <formula>"60 Days"</formula>
    </cfRule>
    <cfRule type="cellIs" priority="4" operator="equal" dxfId="3">
      <formula>"90+ Days"</formula>
    </cfRule>
    <cfRule type="cellIs" priority="5" operator="equal" dxfId="4">
      <formula>"Paid"</formula>
    </cfRule>
    <cfRule type="cellIs" priority="6" operator="equal" dxfId="5">
      <formula>"Written Off"</formula>
    </cfRule>
  </conditionalFormatting>
  <conditionalFormatting sqref="I3:I202">
    <cfRule type="cellIs" priority="7" operator="greaterThan" dxfId="6">
      <formula>60</formula>
    </cfRule>
    <cfRule type="cellIs" priority="8" operator="greaterThan" dxfId="7">
      <formula>30</formula>
    </cfRule>
  </conditionalFormatting>
  <dataValidations count="2">
    <dataValidation sqref="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showDropDown="0" showInputMessage="0" showErrorMessage="0" allowBlank="1" errorTitle="Invalid Service" error="Please select a valid service." type="list">
      <formula1>"Lawn Mowing,Fertilization,Aeration,Herbicide,Weeding,Mulching,Garden Bed Care,Bush Trimming,Hardscaping,Spring Cleanup,Fall Cleanup,Leaf Removal,Gutter Cleaning,Gutter Guard Installation,Snow Removal"</formula1>
    </dataValidation>
    <dataValidation sqref="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showDropDown="0" showInputMessage="0" showErrorMessage="0" allowBlank="1" errorTitle="Invalid Status" error="Please select a valid status." type="list">
      <formula1>"Current,30 Days,60 Days,90+ Days,Paid,Written Off"</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tabColor rgb="0095D5B2"/>
    <outlinePr summaryBelow="1" summaryRight="1"/>
    <pageSetUpPr fitToPage="1"/>
  </sheetPr>
  <dimension ref="A1:D12"/>
  <sheetViews>
    <sheetView workbookViewId="0">
      <pane ySplit="2" topLeftCell="A3" activePane="bottomLeft" state="frozen"/>
      <selection pane="bottomLeft" activeCell="A1" sqref="A1"/>
    </sheetView>
  </sheetViews>
  <sheetFormatPr baseColWidth="8" defaultRowHeight="15"/>
  <cols>
    <col width="28" customWidth="1" min="1" max="1"/>
    <col width="12" customWidth="1" min="2" max="2"/>
    <col width="18" customWidth="1" min="3" max="3"/>
    <col width="14" customWidth="1" min="4" max="4"/>
  </cols>
  <sheetData>
    <row r="1">
      <c r="A1" s="1" t="inlineStr">
        <is>
          <t>TOTALGUARD YARD CARE — 2026 AR AGING SUMMARY</t>
        </is>
      </c>
      <c r="B1" s="2" t="n"/>
      <c r="C1" s="2" t="n"/>
      <c r="D1" s="2" t="n"/>
    </row>
    <row r="2">
      <c r="A2" s="3" t="inlineStr">
        <is>
          <t>Category</t>
        </is>
      </c>
      <c r="B2" s="3" t="inlineStr">
        <is>
          <t>Count</t>
        </is>
      </c>
      <c r="C2" s="3" t="inlineStr">
        <is>
          <t>Amount</t>
        </is>
      </c>
      <c r="D2" s="3" t="inlineStr">
        <is>
          <t>% of Total</t>
        </is>
      </c>
    </row>
    <row r="3">
      <c r="A3" s="17" t="inlineStr">
        <is>
          <t>Current (0-30 days)</t>
        </is>
      </c>
      <c r="B3" s="8">
        <f>COUNTIF('Outstanding Invoices'!J3:J202,"Current")</f>
        <v/>
      </c>
      <c r="C3" s="7">
        <f>SUMIF('Outstanding Invoices'!J3:J202,"Current",'Outstanding Invoices'!H3:H202)</f>
        <v/>
      </c>
      <c r="D3" s="18">
        <f>IF(C7=0,0,C3/C7)</f>
        <v/>
      </c>
    </row>
    <row r="4">
      <c r="A4" s="19" t="inlineStr">
        <is>
          <t>31-60 Days</t>
        </is>
      </c>
      <c r="B4" s="13">
        <f>COUNTIF('Outstanding Invoices'!J3:J202,"30 Days")</f>
        <v/>
      </c>
      <c r="C4" s="12">
        <f>SUMIF('Outstanding Invoices'!J3:J202,"30 Days",'Outstanding Invoices'!H3:H202)</f>
        <v/>
      </c>
      <c r="D4" s="20">
        <f>IF(C7=0,0,C4/C7)</f>
        <v/>
      </c>
    </row>
    <row r="5">
      <c r="A5" s="17" t="inlineStr">
        <is>
          <t>61-90 Days</t>
        </is>
      </c>
      <c r="B5" s="8">
        <f>COUNTIF('Outstanding Invoices'!J3:J202,"60 Days")</f>
        <v/>
      </c>
      <c r="C5" s="7">
        <f>SUMIF('Outstanding Invoices'!J3:J202,"60 Days",'Outstanding Invoices'!H3:H202)</f>
        <v/>
      </c>
      <c r="D5" s="18">
        <f>IF(C7=0,0,C5/C7)</f>
        <v/>
      </c>
    </row>
    <row r="6">
      <c r="A6" s="19" t="inlineStr">
        <is>
          <t>90+ Days</t>
        </is>
      </c>
      <c r="B6" s="13">
        <f>COUNTIF('Outstanding Invoices'!J3:J202,"90+ Days")</f>
        <v/>
      </c>
      <c r="C6" s="12">
        <f>SUMIF('Outstanding Invoices'!J3:J202,"90+ Days",'Outstanding Invoices'!H3:H202)</f>
        <v/>
      </c>
      <c r="D6" s="20">
        <f>IF(C7=0,0,C6/C7)</f>
        <v/>
      </c>
    </row>
    <row r="7">
      <c r="A7" s="21" t="inlineStr">
        <is>
          <t>Total Outstanding</t>
        </is>
      </c>
      <c r="B7" s="22">
        <f>SUM(B3:B6)</f>
        <v/>
      </c>
      <c r="C7" s="23">
        <f>SUM(C3:C6)</f>
        <v/>
      </c>
      <c r="D7" s="24">
        <f>IF(C7=0,0,SUM(D3:D6))</f>
        <v/>
      </c>
    </row>
    <row r="8">
      <c r="A8" s="25" t="n"/>
      <c r="B8" s="25" t="n"/>
      <c r="C8" s="25" t="n"/>
      <c r="D8" s="25" t="n"/>
    </row>
    <row r="9">
      <c r="A9" s="17" t="inlineStr">
        <is>
          <t>Paid / Collected</t>
        </is>
      </c>
      <c r="B9" s="8">
        <f>COUNTIF('Outstanding Invoices'!J3:J202,"Paid")</f>
        <v/>
      </c>
      <c r="C9" s="7">
        <f>SUMIF('Outstanding Invoices'!J3:J202,"Paid",'Outstanding Invoices'!H3:H202)</f>
        <v/>
      </c>
      <c r="D9" s="26" t="n"/>
    </row>
    <row r="10">
      <c r="A10" s="19" t="inlineStr">
        <is>
          <t>Written Off</t>
        </is>
      </c>
      <c r="B10" s="13">
        <f>COUNTIF('Outstanding Invoices'!J3:J202,"Written Off")</f>
        <v/>
      </c>
      <c r="C10" s="12">
        <f>SUMIF('Outstanding Invoices'!J3:J202,"Written Off",'Outstanding Invoices'!H3:H202)</f>
        <v/>
      </c>
      <c r="D10" s="27" t="n"/>
    </row>
    <row r="11">
      <c r="A11" s="25" t="n"/>
      <c r="B11" s="25" t="n"/>
      <c r="C11" s="25" t="n"/>
      <c r="D11" s="25" t="n"/>
    </row>
    <row r="12">
      <c r="A12" s="21" t="inlineStr">
        <is>
          <t>GRAND TOTAL (All Invoices)</t>
        </is>
      </c>
      <c r="B12" s="22">
        <f>B7+B9+B10</f>
        <v/>
      </c>
      <c r="C12" s="23">
        <f>SUM('Outstanding Invoices'!F3:F202)</f>
        <v/>
      </c>
      <c r="D12" s="15" t="n"/>
    </row>
  </sheetData>
  <mergeCells count="1">
    <mergeCell ref="A1:D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2026-03-16T05:18:05Z</dcterms:created>
  <dcterms:modified xsi:type="dcterms:W3CDTF">2026-03-16T05:18:06Z</dcterms:modified>
</cp:coreProperties>
</file>