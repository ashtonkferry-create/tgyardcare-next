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P&amp;L" sheetId="1" state="visible" r:id="rId1"/>
    <sheet name="Quarterly Summary" sheetId="2" state="visible" r:id="rId2"/>
  </sheets>
  <definedNames>
    <definedName name="_xlnm.Print_Titles" localSheetId="0">'Monthly P&amp;L'!$1:$2</definedName>
    <definedName name="_xlnm.Print_Titles" localSheetId="1">'Quarterly Summary'!$1:$2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B4332"/>
      <sz val="16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</fonts>
  <fills count="7">
    <fill>
      <patternFill/>
    </fill>
    <fill>
      <patternFill patternType="gray125"/>
    </fill>
    <fill>
      <patternFill patternType="solid">
        <fgColor rgb="00D8F3DC"/>
      </patternFill>
    </fill>
    <fill>
      <patternFill patternType="solid">
        <fgColor rgb="001B4332"/>
      </patternFill>
    </fill>
    <fill>
      <patternFill patternType="solid">
        <fgColor rgb="0095D5B2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3" fillId="6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332"/>
    <outlinePr summaryBelow="1" summaryRight="1"/>
    <pageSetUpPr fitToPage="1"/>
  </sheetPr>
  <dimension ref="A1:O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</cols>
  <sheetData>
    <row r="1">
      <c r="A1" s="1" t="inlineStr">
        <is>
          <t>TOTALGUARD YARD CARE — 2026 PROFIT &amp; LOSS</t>
        </is>
      </c>
    </row>
    <row r="2">
      <c r="A2" s="2" t="inlineStr">
        <is>
          <t>Category</t>
        </is>
      </c>
      <c r="B2" s="2" t="inlineStr">
        <is>
          <t>January</t>
        </is>
      </c>
      <c r="C2" s="2" t="inlineStr">
        <is>
          <t>February</t>
        </is>
      </c>
      <c r="D2" s="2" t="inlineStr">
        <is>
          <t>March</t>
        </is>
      </c>
      <c r="E2" s="2" t="inlineStr">
        <is>
          <t>April</t>
        </is>
      </c>
      <c r="F2" s="2" t="inlineStr">
        <is>
          <t>May</t>
        </is>
      </c>
      <c r="G2" s="2" t="inlineStr">
        <is>
          <t>June</t>
        </is>
      </c>
      <c r="H2" s="2" t="inlineStr">
        <is>
          <t>July</t>
        </is>
      </c>
      <c r="I2" s="2" t="inlineStr">
        <is>
          <t>August</t>
        </is>
      </c>
      <c r="J2" s="2" t="inlineStr">
        <is>
          <t>September</t>
        </is>
      </c>
      <c r="K2" s="2" t="inlineStr">
        <is>
          <t>October</t>
        </is>
      </c>
      <c r="L2" s="2" t="inlineStr">
        <is>
          <t>November</t>
        </is>
      </c>
      <c r="M2" s="2" t="inlineStr">
        <is>
          <t>December</t>
        </is>
      </c>
      <c r="N2" s="2" t="inlineStr">
        <is>
          <t>YTD Total</t>
        </is>
      </c>
      <c r="O2" s="2" t="inlineStr">
        <is>
          <t>% of Revenue</t>
        </is>
      </c>
    </row>
    <row r="3">
      <c r="A3" s="3" t="inlineStr">
        <is>
          <t>REVENUE</t>
        </is>
      </c>
    </row>
    <row r="4">
      <c r="A4" s="4" t="inlineStr">
        <is>
          <t>Service Revenue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>
        <f>SUM(B4:M4)</f>
        <v/>
      </c>
      <c r="O4" s="6">
        <f>IF(N$6=0,0,N4/N$6)</f>
        <v/>
      </c>
    </row>
    <row r="5">
      <c r="A5" s="7" t="inlineStr">
        <is>
          <t>Other Income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>
        <f>SUM(B5:M5)</f>
        <v/>
      </c>
      <c r="O5" s="9">
        <f>IF(N$6=0,0,N5/N$6)</f>
        <v/>
      </c>
    </row>
    <row r="6">
      <c r="A6" s="10" t="inlineStr">
        <is>
          <t>TOTAL REVENUE</t>
        </is>
      </c>
      <c r="B6" s="11">
        <f>B4+B5</f>
        <v/>
      </c>
      <c r="C6" s="11">
        <f>C4+C5</f>
        <v/>
      </c>
      <c r="D6" s="11">
        <f>D4+D5</f>
        <v/>
      </c>
      <c r="E6" s="11">
        <f>E4+E5</f>
        <v/>
      </c>
      <c r="F6" s="11">
        <f>F4+F5</f>
        <v/>
      </c>
      <c r="G6" s="11">
        <f>G4+G5</f>
        <v/>
      </c>
      <c r="H6" s="11">
        <f>H4+H5</f>
        <v/>
      </c>
      <c r="I6" s="11">
        <f>I4+I5</f>
        <v/>
      </c>
      <c r="J6" s="11">
        <f>J4+J5</f>
        <v/>
      </c>
      <c r="K6" s="11">
        <f>K4+K5</f>
        <v/>
      </c>
      <c r="L6" s="11">
        <f>L4+L5</f>
        <v/>
      </c>
      <c r="M6" s="11">
        <f>M4+M5</f>
        <v/>
      </c>
      <c r="N6" s="11">
        <f>SUM(B6:M6)</f>
        <v/>
      </c>
      <c r="O6" s="12">
        <f>IF(N$6=0,0,N6/N$6)</f>
        <v/>
      </c>
    </row>
    <row r="8">
      <c r="A8" s="13" t="inlineStr">
        <is>
          <t>COST OF GOODS SOLD</t>
        </is>
      </c>
    </row>
    <row r="9">
      <c r="A9" s="4" t="inlineStr">
        <is>
          <t>Fuel &amp; Gas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>
        <f>SUM(B9:M9)</f>
        <v/>
      </c>
      <c r="O9" s="6">
        <f>IF(N$6=0,0,N9/N$6)</f>
        <v/>
      </c>
    </row>
    <row r="10">
      <c r="A10" s="7" t="inlineStr">
        <is>
          <t>Supplies &amp; Materials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>
        <f>SUM(B10:M10)</f>
        <v/>
      </c>
      <c r="O10" s="9">
        <f>IF(N$6=0,0,N10/N$6)</f>
        <v/>
      </c>
    </row>
    <row r="11">
      <c r="A11" s="4" t="inlineStr">
        <is>
          <t>Subcontractor Labor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>
        <f>SUM(B11:M11)</f>
        <v/>
      </c>
      <c r="O11" s="6">
        <f>IF(N$6=0,0,N11/N$6)</f>
        <v/>
      </c>
    </row>
    <row r="12">
      <c r="A12" s="7" t="inlineStr">
        <is>
          <t>Equipment Rental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>
        <f>SUM(B12:M12)</f>
        <v/>
      </c>
      <c r="O12" s="9">
        <f>IF(N$6=0,0,N12/N$6)</f>
        <v/>
      </c>
    </row>
    <row r="13">
      <c r="A13" s="14" t="inlineStr">
        <is>
          <t>TOTAL COGS</t>
        </is>
      </c>
      <c r="B13" s="15">
        <f>B9+B10+B11+B12</f>
        <v/>
      </c>
      <c r="C13" s="15">
        <f>C9+C10+C11+C12</f>
        <v/>
      </c>
      <c r="D13" s="15">
        <f>D9+D10+D11+D12</f>
        <v/>
      </c>
      <c r="E13" s="15">
        <f>E9+E10+E11+E12</f>
        <v/>
      </c>
      <c r="F13" s="15">
        <f>F9+F10+F11+F12</f>
        <v/>
      </c>
      <c r="G13" s="15">
        <f>G9+G10+G11+G12</f>
        <v/>
      </c>
      <c r="H13" s="15">
        <f>H9+H10+H11+H12</f>
        <v/>
      </c>
      <c r="I13" s="15">
        <f>I9+I10+I11+I12</f>
        <v/>
      </c>
      <c r="J13" s="15">
        <f>J9+J10+J11+J12</f>
        <v/>
      </c>
      <c r="K13" s="15">
        <f>K9+K10+K11+K12</f>
        <v/>
      </c>
      <c r="L13" s="15">
        <f>L9+L10+L11+L12</f>
        <v/>
      </c>
      <c r="M13" s="15">
        <f>M9+M10+M11+M12</f>
        <v/>
      </c>
      <c r="N13" s="15">
        <f>SUM(B13:M13)</f>
        <v/>
      </c>
      <c r="O13" s="16">
        <f>IF(N$6=0,0,N13/N$6)</f>
        <v/>
      </c>
    </row>
    <row r="15">
      <c r="A15" s="10" t="inlineStr">
        <is>
          <t>GROSS PROFIT</t>
        </is>
      </c>
      <c r="B15" s="11">
        <f>B6-B13</f>
        <v/>
      </c>
      <c r="C15" s="11">
        <f>C6-C13</f>
        <v/>
      </c>
      <c r="D15" s="11">
        <f>D6-D13</f>
        <v/>
      </c>
      <c r="E15" s="11">
        <f>E6-E13</f>
        <v/>
      </c>
      <c r="F15" s="11">
        <f>F6-F13</f>
        <v/>
      </c>
      <c r="G15" s="11">
        <f>G6-G13</f>
        <v/>
      </c>
      <c r="H15" s="11">
        <f>H6-H13</f>
        <v/>
      </c>
      <c r="I15" s="11">
        <f>I6-I13</f>
        <v/>
      </c>
      <c r="J15" s="11">
        <f>J6-J13</f>
        <v/>
      </c>
      <c r="K15" s="11">
        <f>K6-K13</f>
        <v/>
      </c>
      <c r="L15" s="11">
        <f>L6-L13</f>
        <v/>
      </c>
      <c r="M15" s="11">
        <f>M6-M13</f>
        <v/>
      </c>
      <c r="N15" s="11">
        <f>SUM(B15:M15)</f>
        <v/>
      </c>
      <c r="O15" s="12">
        <f>IF(N$6=0,0,N15/N$6)</f>
        <v/>
      </c>
    </row>
    <row r="16">
      <c r="A16" s="17" t="inlineStr">
        <is>
          <t>Gross Margin %</t>
        </is>
      </c>
      <c r="B16" s="18">
        <f>IF(B6=0,0,B15/B6)</f>
        <v/>
      </c>
      <c r="C16" s="18">
        <f>IF(C6=0,0,C15/C6)</f>
        <v/>
      </c>
      <c r="D16" s="18">
        <f>IF(D6=0,0,D15/D6)</f>
        <v/>
      </c>
      <c r="E16" s="18">
        <f>IF(E6=0,0,E15/E6)</f>
        <v/>
      </c>
      <c r="F16" s="18">
        <f>IF(F6=0,0,F15/F6)</f>
        <v/>
      </c>
      <c r="G16" s="18">
        <f>IF(G6=0,0,G15/G6)</f>
        <v/>
      </c>
      <c r="H16" s="18">
        <f>IF(H6=0,0,H15/H6)</f>
        <v/>
      </c>
      <c r="I16" s="18">
        <f>IF(I6=0,0,I15/I6)</f>
        <v/>
      </c>
      <c r="J16" s="18">
        <f>IF(J6=0,0,J15/J6)</f>
        <v/>
      </c>
      <c r="K16" s="18">
        <f>IF(K6=0,0,K15/K6)</f>
        <v/>
      </c>
      <c r="L16" s="18">
        <f>IF(L6=0,0,L15/L6)</f>
        <v/>
      </c>
      <c r="M16" s="18">
        <f>IF(M6=0,0,M15/M6)</f>
        <v/>
      </c>
      <c r="N16" s="18">
        <f>IF(N6=0,0,N15/N6)</f>
        <v/>
      </c>
      <c r="O16" s="19" t="n"/>
    </row>
    <row r="18">
      <c r="A18" s="13" t="inlineStr">
        <is>
          <t>OPERATING EXPENSES</t>
        </is>
      </c>
    </row>
    <row r="19">
      <c r="A19" s="4" t="inlineStr">
        <is>
          <t>Software/SaaS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>
        <f>SUM(B19:M19)</f>
        <v/>
      </c>
      <c r="O19" s="6">
        <f>IF(N$6=0,0,N19/N$6)</f>
        <v/>
      </c>
    </row>
    <row r="20">
      <c r="A20" s="7" t="inlineStr">
        <is>
          <t>Phone/Communications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>
        <f>SUM(B20:M20)</f>
        <v/>
      </c>
      <c r="O20" s="9">
        <f>IF(N$6=0,0,N20/N$6)</f>
        <v/>
      </c>
    </row>
    <row r="21">
      <c r="A21" s="4" t="inlineStr">
        <is>
          <t>Insurance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>
        <f>SUM(B21:M21)</f>
        <v/>
      </c>
      <c r="O21" s="6">
        <f>IF(N$6=0,0,N21/N$6)</f>
        <v/>
      </c>
    </row>
    <row r="22">
      <c r="A22" s="7" t="inlineStr">
        <is>
          <t>Marketing/Advertising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>
        <f>SUM(B22:M22)</f>
        <v/>
      </c>
      <c r="O22" s="9">
        <f>IF(N$6=0,0,N22/N$6)</f>
        <v/>
      </c>
    </row>
    <row r="23">
      <c r="A23" s="4" t="inlineStr">
        <is>
          <t>Vehicle Expenses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>
        <f>SUM(B23:M23)</f>
        <v/>
      </c>
      <c r="O23" s="6">
        <f>IF(N$6=0,0,N23/N$6)</f>
        <v/>
      </c>
    </row>
    <row r="24">
      <c r="A24" s="7" t="inlineStr">
        <is>
          <t>Equipment Maintenance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>
        <f>SUM(B24:M24)</f>
        <v/>
      </c>
      <c r="O24" s="9">
        <f>IF(N$6=0,0,N24/N$6)</f>
        <v/>
      </c>
    </row>
    <row r="25">
      <c r="A25" s="4" t="inlineStr">
        <is>
          <t>Office/Admin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>
        <f>SUM(B25:M25)</f>
        <v/>
      </c>
      <c r="O25" s="6">
        <f>IF(N$6=0,0,N25/N$6)</f>
        <v/>
      </c>
    </row>
    <row r="26">
      <c r="A26" s="7" t="inlineStr">
        <is>
          <t>Licensing/Permits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>
        <f>SUM(B26:M26)</f>
        <v/>
      </c>
      <c r="O26" s="9">
        <f>IF(N$6=0,0,N26/N$6)</f>
        <v/>
      </c>
    </row>
    <row r="27">
      <c r="A27" s="4" t="inlineStr">
        <is>
          <t>Training/Education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>
        <f>SUM(B27:M27)</f>
        <v/>
      </c>
      <c r="O27" s="6">
        <f>IF(N$6=0,0,N27/N$6)</f>
        <v/>
      </c>
    </row>
    <row r="28">
      <c r="A28" s="7" t="inlineStr">
        <is>
          <t>Other Expenses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>
        <f>SUM(B28:M28)</f>
        <v/>
      </c>
      <c r="O28" s="9">
        <f>IF(N$6=0,0,N28/N$6)</f>
        <v/>
      </c>
    </row>
    <row r="29">
      <c r="A29" s="14" t="inlineStr">
        <is>
          <t>TOTAL OPEX</t>
        </is>
      </c>
      <c r="B29" s="15">
        <f>B19+B20+B21+B22+B23+B24+B25+B26+B27+B28</f>
        <v/>
      </c>
      <c r="C29" s="15">
        <f>C19+C20+C21+C22+C23+C24+C25+C26+C27+C28</f>
        <v/>
      </c>
      <c r="D29" s="15">
        <f>D19+D20+D21+D22+D23+D24+D25+D26+D27+D28</f>
        <v/>
      </c>
      <c r="E29" s="15">
        <f>E19+E20+E21+E22+E23+E24+E25+E26+E27+E28</f>
        <v/>
      </c>
      <c r="F29" s="15">
        <f>F19+F20+F21+F22+F23+F24+F25+F26+F27+F28</f>
        <v/>
      </c>
      <c r="G29" s="15">
        <f>G19+G20+G21+G22+G23+G24+G25+G26+G27+G28</f>
        <v/>
      </c>
      <c r="H29" s="15">
        <f>H19+H20+H21+H22+H23+H24+H25+H26+H27+H28</f>
        <v/>
      </c>
      <c r="I29" s="15">
        <f>I19+I20+I21+I22+I23+I24+I25+I26+I27+I28</f>
        <v/>
      </c>
      <c r="J29" s="15">
        <f>J19+J20+J21+J22+J23+J24+J25+J26+J27+J28</f>
        <v/>
      </c>
      <c r="K29" s="15">
        <f>K19+K20+K21+K22+K23+K24+K25+K26+K27+K28</f>
        <v/>
      </c>
      <c r="L29" s="15">
        <f>L19+L20+L21+L22+L23+L24+L25+L26+L27+L28</f>
        <v/>
      </c>
      <c r="M29" s="15">
        <f>M19+M20+M21+M22+M23+M24+M25+M26+M27+M28</f>
        <v/>
      </c>
      <c r="N29" s="15">
        <f>SUM(B29:M29)</f>
        <v/>
      </c>
      <c r="O29" s="16">
        <f>IF(N$6=0,0,N29/N$6)</f>
        <v/>
      </c>
    </row>
    <row r="31">
      <c r="A31" s="20" t="inlineStr">
        <is>
          <t>NET INCOME</t>
        </is>
      </c>
      <c r="B31" s="21">
        <f>B15-B29</f>
        <v/>
      </c>
      <c r="C31" s="21">
        <f>C15-C29</f>
        <v/>
      </c>
      <c r="D31" s="21">
        <f>D15-D29</f>
        <v/>
      </c>
      <c r="E31" s="21">
        <f>E15-E29</f>
        <v/>
      </c>
      <c r="F31" s="21">
        <f>F15-F29</f>
        <v/>
      </c>
      <c r="G31" s="21">
        <f>G15-G29</f>
        <v/>
      </c>
      <c r="H31" s="21">
        <f>H15-H29</f>
        <v/>
      </c>
      <c r="I31" s="21">
        <f>I15-I29</f>
        <v/>
      </c>
      <c r="J31" s="21">
        <f>J15-J29</f>
        <v/>
      </c>
      <c r="K31" s="21">
        <f>K15-K29</f>
        <v/>
      </c>
      <c r="L31" s="21">
        <f>L15-L29</f>
        <v/>
      </c>
      <c r="M31" s="21">
        <f>M15-M29</f>
        <v/>
      </c>
      <c r="N31" s="21">
        <f>SUM(B31:M31)</f>
        <v/>
      </c>
      <c r="O31" s="22">
        <f>IF(N$6=0,0,N31/N$6)</f>
        <v/>
      </c>
    </row>
    <row r="32">
      <c r="A32" s="17" t="inlineStr">
        <is>
          <t>Net Margin %</t>
        </is>
      </c>
      <c r="B32" s="18">
        <f>IF(B6=0,0,B31/B6)</f>
        <v/>
      </c>
      <c r="C32" s="18">
        <f>IF(C6=0,0,C31/C6)</f>
        <v/>
      </c>
      <c r="D32" s="18">
        <f>IF(D6=0,0,D31/D6)</f>
        <v/>
      </c>
      <c r="E32" s="18">
        <f>IF(E6=0,0,E31/E6)</f>
        <v/>
      </c>
      <c r="F32" s="18">
        <f>IF(F6=0,0,F31/F6)</f>
        <v/>
      </c>
      <c r="G32" s="18">
        <f>IF(G6=0,0,G31/G6)</f>
        <v/>
      </c>
      <c r="H32" s="18">
        <f>IF(H6=0,0,H31/H6)</f>
        <v/>
      </c>
      <c r="I32" s="18">
        <f>IF(I6=0,0,I31/I6)</f>
        <v/>
      </c>
      <c r="J32" s="18">
        <f>IF(J6=0,0,J31/J6)</f>
        <v/>
      </c>
      <c r="K32" s="18">
        <f>IF(K6=0,0,K31/K6)</f>
        <v/>
      </c>
      <c r="L32" s="18">
        <f>IF(L6=0,0,L31/L6)</f>
        <v/>
      </c>
      <c r="M32" s="18">
        <f>IF(M6=0,0,M31/M6)</f>
        <v/>
      </c>
      <c r="N32" s="18">
        <f>IF(N6=0,0,N31/N6)</f>
        <v/>
      </c>
      <c r="O32" s="19" t="n"/>
    </row>
  </sheetData>
  <mergeCells count="4">
    <mergeCell ref="A1:O1"/>
    <mergeCell ref="A18:O18"/>
    <mergeCell ref="A8:O8"/>
    <mergeCell ref="A3:O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B4332"/>
    <outlinePr summaryBelow="1" summaryRight="1"/>
    <pageSetUpPr fitToPage="1"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TOTALGUARD YARD CARE — 2026 QUARTERLY SUMMARY</t>
        </is>
      </c>
    </row>
    <row r="2">
      <c r="A2" s="2" t="inlineStr">
        <is>
          <t>Metric</t>
        </is>
      </c>
      <c r="B2" s="2" t="inlineStr">
        <is>
          <t>Q1</t>
        </is>
      </c>
      <c r="C2" s="2" t="inlineStr">
        <is>
          <t>Q2</t>
        </is>
      </c>
      <c r="D2" s="2" t="inlineStr">
        <is>
          <t>Q3</t>
        </is>
      </c>
      <c r="E2" s="2" t="inlineStr">
        <is>
          <t>Q4</t>
        </is>
      </c>
      <c r="F2" s="2" t="inlineStr">
        <is>
          <t>Full Year</t>
        </is>
      </c>
    </row>
    <row r="3">
      <c r="A3" s="14" t="inlineStr">
        <is>
          <t>Revenue</t>
        </is>
      </c>
      <c r="B3" s="15">
        <f>'Monthly P&amp;L'!B6+'Monthly P&amp;L'!C6+'Monthly P&amp;L'!D6</f>
        <v/>
      </c>
      <c r="C3" s="15">
        <f>'Monthly P&amp;L'!E6+'Monthly P&amp;L'!F6+'Monthly P&amp;L'!G6</f>
        <v/>
      </c>
      <c r="D3" s="15">
        <f>'Monthly P&amp;L'!H6+'Monthly P&amp;L'!I6+'Monthly P&amp;L'!J6</f>
        <v/>
      </c>
      <c r="E3" s="15">
        <f>'Monthly P&amp;L'!K6+'Monthly P&amp;L'!L6+'Monthly P&amp;L'!M6</f>
        <v/>
      </c>
      <c r="F3" s="15">
        <f>SUM(B3:E3)</f>
        <v/>
      </c>
    </row>
    <row r="4">
      <c r="A4" s="23" t="inlineStr">
        <is>
          <t>COGS</t>
        </is>
      </c>
      <c r="B4" s="24">
        <f>'Monthly P&amp;L'!B13+'Monthly P&amp;L'!C13+'Monthly P&amp;L'!D13</f>
        <v/>
      </c>
      <c r="C4" s="24">
        <f>'Monthly P&amp;L'!E13+'Monthly P&amp;L'!F13+'Monthly P&amp;L'!G13</f>
        <v/>
      </c>
      <c r="D4" s="24">
        <f>'Monthly P&amp;L'!H13+'Monthly P&amp;L'!I13+'Monthly P&amp;L'!J13</f>
        <v/>
      </c>
      <c r="E4" s="24">
        <f>'Monthly P&amp;L'!K13+'Monthly P&amp;L'!L13+'Monthly P&amp;L'!M13</f>
        <v/>
      </c>
      <c r="F4" s="24">
        <f>SUM(B4:E4)</f>
        <v/>
      </c>
    </row>
    <row r="5">
      <c r="A5" s="10" t="inlineStr">
        <is>
          <t>Gross Profit</t>
        </is>
      </c>
      <c r="B5" s="11">
        <f>B3-B4</f>
        <v/>
      </c>
      <c r="C5" s="11">
        <f>C3-C4</f>
        <v/>
      </c>
      <c r="D5" s="11">
        <f>D3-D4</f>
        <v/>
      </c>
      <c r="E5" s="11">
        <f>E3-E4</f>
        <v/>
      </c>
      <c r="F5" s="11">
        <f>F3-F4</f>
        <v/>
      </c>
    </row>
    <row r="6">
      <c r="A6" s="25" t="inlineStr">
        <is>
          <t>Gross Margin %</t>
        </is>
      </c>
      <c r="B6" s="26">
        <f>IF(B3=0,0,B5/B3)</f>
        <v/>
      </c>
      <c r="C6" s="26">
        <f>IF(C3=0,0,C5/C3)</f>
        <v/>
      </c>
      <c r="D6" s="26">
        <f>IF(D3=0,0,D5/D3)</f>
        <v/>
      </c>
      <c r="E6" s="26">
        <f>IF(E3=0,0,E5/E3)</f>
        <v/>
      </c>
      <c r="F6" s="26">
        <f>IF(F3=0,0,F5/F3)</f>
        <v/>
      </c>
    </row>
    <row r="7">
      <c r="A7" s="14" t="inlineStr">
        <is>
          <t>Operating Expenses</t>
        </is>
      </c>
      <c r="B7" s="15">
        <f>'Monthly P&amp;L'!B29+'Monthly P&amp;L'!C29+'Monthly P&amp;L'!D29</f>
        <v/>
      </c>
      <c r="C7" s="15">
        <f>'Monthly P&amp;L'!E29+'Monthly P&amp;L'!F29+'Monthly P&amp;L'!G29</f>
        <v/>
      </c>
      <c r="D7" s="15">
        <f>'Monthly P&amp;L'!H29+'Monthly P&amp;L'!I29+'Monthly P&amp;L'!J29</f>
        <v/>
      </c>
      <c r="E7" s="15">
        <f>'Monthly P&amp;L'!K29+'Monthly P&amp;L'!L29+'Monthly P&amp;L'!M29</f>
        <v/>
      </c>
      <c r="F7" s="15">
        <f>SUM(B7:E7)</f>
        <v/>
      </c>
    </row>
    <row r="8">
      <c r="A8" s="10" t="inlineStr">
        <is>
          <t>Net Income</t>
        </is>
      </c>
      <c r="B8" s="11">
        <f>B5-B7</f>
        <v/>
      </c>
      <c r="C8" s="11">
        <f>C5-C7</f>
        <v/>
      </c>
      <c r="D8" s="11">
        <f>D5-D7</f>
        <v/>
      </c>
      <c r="E8" s="11">
        <f>E5-E7</f>
        <v/>
      </c>
      <c r="F8" s="11">
        <f>F5-F7</f>
        <v/>
      </c>
    </row>
    <row r="9">
      <c r="A9" s="17" t="inlineStr">
        <is>
          <t>Net Margin %</t>
        </is>
      </c>
      <c r="B9" s="18">
        <f>IF(B3=0,0,B8/B3)</f>
        <v/>
      </c>
      <c r="C9" s="18">
        <f>IF(C3=0,0,C8/C3)</f>
        <v/>
      </c>
      <c r="D9" s="18">
        <f>IF(D3=0,0,D8/D3)</f>
        <v/>
      </c>
      <c r="E9" s="18">
        <f>IF(E3=0,0,E8/E3)</f>
        <v/>
      </c>
      <c r="F9" s="18">
        <f>IF(F3=0,0,F8/F3)</f>
        <v/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2026-03-16T05:17:38Z</dcterms:created>
  <dcterms:modified xsi:type="dcterms:W3CDTF">2026-03-16T05:17:38Z</dcterms:modified>
</cp:coreProperties>
</file>