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CALCULATOR" sheetId="1" state="visible" r:id="rId1"/>
    <sheet name="PRODUCT DATABASE" sheetId="2" state="visible" r:id="rId2"/>
    <sheet name="PROFI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x"/>
    <numFmt numFmtId="165" formatCode="$#,##0.00"/>
    <numFmt numFmtId="166" formatCode="$#,##0"/>
    <numFmt numFmtId="167" formatCode="0.0%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2"/>
    </font>
    <font>
      <name val="Arial"/>
      <b val="1"/>
      <color rgb="001B4332"/>
      <sz val="12"/>
    </font>
    <font>
      <name val="Arial"/>
      <b val="1"/>
      <color rgb="000000FF"/>
      <sz val="14"/>
    </font>
    <font>
      <name val="Arial"/>
      <color rgb="00888888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B4332"/>
      <sz val="11"/>
    </font>
    <font>
      <name val="Arial"/>
      <b val="1"/>
      <color rgb="00228B22"/>
      <sz val="10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D700"/>
      <sz val="14"/>
    </font>
    <font>
      <name val="Arial"/>
      <b val="1"/>
      <color rgb="00FFFFFF"/>
      <sz val="10"/>
    </font>
    <font>
      <name val="Arial"/>
      <b val="1"/>
      <color rgb="001B4332"/>
      <sz val="10"/>
    </font>
    <font>
      <name val="Arial"/>
      <i val="1"/>
      <color rgb="00666666"/>
      <sz val="9"/>
    </font>
    <font>
      <name val="Arial"/>
      <i val="1"/>
      <color rgb="000000FF"/>
      <sz val="9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1B4332"/>
      <sz val="9"/>
    </font>
    <font>
      <name val="Arial"/>
      <b val="1"/>
      <color rgb="008B6914"/>
      <sz val="9"/>
    </font>
    <font>
      <name val="Arial"/>
      <color rgb="000563C1"/>
      <sz val="10"/>
      <u val="single"/>
    </font>
    <font>
      <name val="Arial"/>
      <color rgb="00555555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color rgb="00444444"/>
      <sz val="9"/>
    </font>
    <font>
      <name val="Arial"/>
      <b val="1"/>
      <color rgb="00FFD700"/>
      <sz val="12"/>
    </font>
    <font>
      <name val="Arial"/>
      <b val="1"/>
      <color rgb="00228B22"/>
      <sz val="11"/>
    </font>
    <font>
      <name val="Arial"/>
      <b val="1"/>
      <color rgb="00228B22"/>
      <sz val="12"/>
    </font>
    <font>
      <name val="Arial"/>
      <b val="1"/>
      <color rgb="00CC0000"/>
      <sz val="10"/>
    </font>
  </fonts>
  <fills count="1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FF0"/>
      </patternFill>
    </fill>
    <fill>
      <patternFill patternType="solid">
        <fgColor rgb="00F0F7F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4">
    <border>
      <left/>
      <right/>
      <top/>
      <bottom/>
      <diagonal/>
    </border>
    <border>
      <left style="thick">
        <color rgb="00FF8C00"/>
      </left>
      <right style="thick">
        <color rgb="00FF8C00"/>
      </right>
      <top style="thick">
        <color rgb="00FF8C00"/>
      </top>
      <bottom style="thick">
        <color rgb="00FF8C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B4332"/>
      </left>
      <right style="medium">
        <color rgb="001B4332"/>
      </right>
      <top style="medium">
        <color rgb="001B4332"/>
      </top>
      <bottom style="medium">
        <color rgb="001B4332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165" fontId="10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0" fillId="6" borderId="0" pivotButton="0" quotePrefix="0" xfId="0"/>
    <xf numFmtId="0" fontId="3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1" fontId="9" fillId="6" borderId="2" applyAlignment="1" pivotButton="0" quotePrefix="0" xfId="0">
      <alignment horizontal="center" vertical="center" wrapText="1"/>
    </xf>
    <xf numFmtId="165" fontId="9" fillId="6" borderId="2" applyAlignment="1" pivotButton="0" quotePrefix="0" xfId="0">
      <alignment horizontal="center" vertical="center" wrapText="1"/>
    </xf>
    <xf numFmtId="165" fontId="10" fillId="6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2" borderId="3" pivotButton="0" quotePrefix="0" xfId="0"/>
    <xf numFmtId="165" fontId="13" fillId="2" borderId="3" applyAlignment="1" pivotButton="0" quotePrefix="0" xfId="0">
      <alignment horizontal="center" vertical="center" wrapText="1"/>
    </xf>
    <xf numFmtId="165" fontId="14" fillId="2" borderId="3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16" fillId="5" borderId="2" applyAlignment="1" pivotButton="0" quotePrefix="0" xfId="0">
      <alignment horizontal="center" vertical="center" wrapText="1"/>
    </xf>
    <xf numFmtId="166" fontId="11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6" fontId="9" fillId="6" borderId="2" applyAlignment="1" pivotButton="0" quotePrefix="0" xfId="0">
      <alignment horizontal="center" vertical="center" wrapText="1"/>
    </xf>
    <xf numFmtId="166" fontId="16" fillId="6" borderId="2" applyAlignment="1" pivotButton="0" quotePrefix="0" xfId="0">
      <alignment horizontal="center" vertical="center" wrapText="1"/>
    </xf>
    <xf numFmtId="166" fontId="11" fillId="6" borderId="2" applyAlignment="1" pivotButton="0" quotePrefix="0" xfId="0">
      <alignment horizontal="center" vertical="center" wrapText="1"/>
    </xf>
    <xf numFmtId="167" fontId="9" fillId="6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165" fontId="16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165" fontId="16" fillId="6" borderId="2" applyAlignment="1" pivotButton="0" quotePrefix="0" xfId="0">
      <alignment horizontal="center" vertical="center" wrapText="1"/>
    </xf>
    <xf numFmtId="0" fontId="7" fillId="2" borderId="3" pivotButton="0" quotePrefix="0" xfId="0"/>
    <xf numFmtId="165" fontId="26" fillId="2" borderId="3" pivotButton="0" quotePrefix="0" xfId="0"/>
    <xf numFmtId="165" fontId="28" fillId="2" borderId="3" pivotButton="0" quotePrefix="0" xfId="0"/>
    <xf numFmtId="0" fontId="29" fillId="9" borderId="3" pivotButton="0" quotePrefix="0" xfId="0"/>
    <xf numFmtId="0" fontId="0" fillId="9" borderId="3" pivotButton="0" quotePrefix="0" xfId="0"/>
    <xf numFmtId="165" fontId="30" fillId="9" borderId="3" pivotButton="0" quotePrefix="0" xfId="0"/>
    <xf numFmtId="1" fontId="4" fillId="4" borderId="1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166" fontId="31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iteone.com/en/702053-lesco-stonewall-043-19-0-7-30-polyplus-opti45-mop-pre-emergent-granular-herbicide-plus-fertilizer-50-lb-bag/p/356351" TargetMode="External" Id="rId1" /><Relationship Type="http://schemas.openxmlformats.org/officeDocument/2006/relationships/hyperlink" Target="https://www.siteone.com/en/2241024-lebanon-pro-prodiamine-038-18-0-4-25-crn-pre-emergent-herbicide-plus-fertilizer-50-lb/p/780809" TargetMode="External" Id="rId2" /><Relationship Type="http://schemas.openxmlformats.org/officeDocument/2006/relationships/hyperlink" Target="https://www.siteone.com/en/702022-lesco-dimension-015-19-0-0-30-polyplus-opti45-pre-emergent-plus-fertilizer-50-lb/p/356322" TargetMode="External" Id="rId3" /><Relationship Type="http://schemas.openxmlformats.org/officeDocument/2006/relationships/hyperlink" Target="https://www.siteone.com/en/511484-lesco-24-0-6-50-polyplus-opti-granular-fertilizer-50-lb-bag/p/852704" TargetMode="External" Id="rId4" /><Relationship Type="http://schemas.openxmlformats.org/officeDocument/2006/relationships/hyperlink" Target="https://www.siteone.com/en/8811076-trimec-classic-broadleaf-post-emergent-liquid-herbicide-1-gal/p/163544" TargetMode="External" Id="rId5" /><Relationship Type="http://schemas.openxmlformats.org/officeDocument/2006/relationships/hyperlink" Target="https://www.siteone.com/en/8811126-trimec-classic-broadleaf-post-emergent-liquid-herbicide-25-gal/p/163545" TargetMode="External" Id="rId6" /><Relationship Type="http://schemas.openxmlformats.org/officeDocument/2006/relationships/hyperlink" Target="https://www.siteone.com/en/10447225-nufarm-triplet-sf-herbicide-25-gal/p/772634" TargetMode="External" Id="rId7" /><Relationship Type="http://schemas.openxmlformats.org/officeDocument/2006/relationships/hyperlink" Target="https://www.siteone.com/en/291485-lesco-merit-02-14-0-0-30polyplus-opti45-systemic-granular-insecticide-plus-fertilizer-50-lb-bag/p/337866" TargetMode="External" Id="rId8" /><Relationship Type="http://schemas.openxmlformats.org/officeDocument/2006/relationships/hyperlink" Target="https://www.siteone.com/en/291610-lesco-acelepryn-0067-20-0-5-75-polyplus-opti45-2fe-insecticide-plus-fertilizer-50-lb/p/364577" TargetMode="External" Id="rId9" /><Relationship Type="http://schemas.openxmlformats.org/officeDocument/2006/relationships/hyperlink" Target="https://www.siteone.com/en/83014299-control-solutions-quali-pro-imidacloprid-05g-insecticide/p/772586" TargetMode="External" Id="rId10" /><Relationship Type="http://schemas.openxmlformats.org/officeDocument/2006/relationships/hyperlink" Target="https://www.siteone.com/en/098631-lesco-24-0-11-50-polyplus-opti-2fe-1mn-mop-turfgrass-granular-fertilizer-50-lb-bag/p/336709" TargetMode="External" Id="rId11" /><Relationship Type="http://schemas.openxmlformats.org/officeDocument/2006/relationships/hyperlink" Target="https://www.siteone.com/en/511673-lesco-24-0-10-75-polyplus-opti45-spar-tech-10-cl-mop-turfgrass-granular-fertilizer-50-lb-bag/p/981609" TargetMode="External" Id="rId12" /><Relationship Type="http://schemas.openxmlformats.org/officeDocument/2006/relationships/hyperlink" Target="https://www.siteone.com/en/8811076-trimec-classic-broadleaf-post-emergent-liquid-herbicide-1-gal/p/163544" TargetMode="External" Id="rId13" /><Relationship Type="http://schemas.openxmlformats.org/officeDocument/2006/relationships/hyperlink" Target="https://www.siteone.com/en/511153-lesco-32-0-10-100-nos-plus-sop-turfgrass-mini-granular-fertilizer-50-lb-bag/p/682926" TargetMode="External" Id="rId14" /><Relationship Type="http://schemas.openxmlformats.org/officeDocument/2006/relationships/hyperlink" Target="https://www.siteone.com/en/510124-lesco-32-0-10-75-polyplus-2-fe-turfgrass-granular-fertilizer-50-lb-bag/p/351438" TargetMode="External" Id="rId15" /><Relationship Type="http://schemas.openxmlformats.org/officeDocument/2006/relationships/hyperlink" Target="https://www.siteone.com/en/510120-lesco-30-0-10-25-polyplus-turfgrass-granular-fertilizer-50-lb-bag/p/351435" TargetMode="External" Id="rId16" 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H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4" customWidth="1" min="8" max="8"/>
  </cols>
  <sheetData>
    <row r="1">
      <c r="A1" s="1" t="inlineStr">
        <is>
          <t>TOTALGUARD YARD CARE — FERTILIZER MASTER SHEET</t>
        </is>
      </c>
    </row>
    <row r="2"/>
    <row r="3">
      <c r="A3" s="2" t="inlineStr">
        <is>
          <t>5-Step Professional Lawn Program  |  Wisconsin Cool-Season Grasses  |  SiteOne Products</t>
        </is>
      </c>
    </row>
    <row r="5">
      <c r="B5" s="3" t="inlineStr">
        <is>
          <t>ENTER PROPERTY SQUARE FOOTAGE:</t>
        </is>
      </c>
      <c r="D5" s="4" t="n">
        <v>10000</v>
      </c>
      <c r="E5" s="5" t="inlineStr">
        <is>
          <t>sqft</t>
        </is>
      </c>
    </row>
    <row r="6">
      <c r="B6" s="3" t="inlineStr">
        <is>
          <t>YOUR MARKUP MULTIPLIER:</t>
        </is>
      </c>
      <c r="D6" s="6" t="n">
        <v>2.5</v>
      </c>
      <c r="E6" s="7" t="inlineStr">
        <is>
          <t>(2.0 = double, 2.5 = standard, 3.0 = premium)</t>
        </is>
      </c>
    </row>
    <row r="8">
      <c r="A8" s="8" t="inlineStr"/>
      <c r="B8" s="8" t="inlineStr">
        <is>
          <t>STEP</t>
        </is>
      </c>
      <c r="C8" s="8" t="inlineStr">
        <is>
          <t>PRODUCT</t>
        </is>
      </c>
      <c r="D8" s="8" t="inlineStr">
        <is>
          <t>BAGS NEEDED</t>
        </is>
      </c>
      <c r="E8" s="8" t="inlineStr">
        <is>
          <t>MATERIAL COST</t>
        </is>
      </c>
      <c r="F8" s="8" t="inlineStr">
        <is>
          <t>YOUR PRICE</t>
        </is>
      </c>
      <c r="G8" s="8" t="inlineStr">
        <is>
          <t>PROFIT</t>
        </is>
      </c>
      <c r="H8" s="8" t="inlineStr"/>
    </row>
    <row r="9">
      <c r="A9" s="9" t="n"/>
      <c r="B9" s="10" t="inlineStr">
        <is>
          <t>Step 1: Pre-Emergent + Fert</t>
        </is>
      </c>
      <c r="C9" s="11" t="inlineStr">
        <is>
          <t>LESCO Stonewall 0.43% 19-0-7</t>
        </is>
      </c>
      <c r="D9" s="12">
        <f>ROUNDUP($D$5/12500,0)</f>
        <v/>
      </c>
      <c r="E9" s="13">
        <f>D9*28</f>
        <v/>
      </c>
      <c r="F9" s="14">
        <f>E9*$D$6</f>
        <v/>
      </c>
      <c r="G9" s="15">
        <f>F9-E9</f>
        <v/>
      </c>
      <c r="H9" s="9" t="n"/>
    </row>
    <row r="10">
      <c r="A10" s="16" t="n"/>
      <c r="B10" s="17" t="inlineStr">
        <is>
          <t>Step 2: Weed Control + Feed</t>
        </is>
      </c>
      <c r="C10" s="18" t="inlineStr">
        <is>
          <t>LESCO 24-0-6 + Trimec Classic</t>
        </is>
      </c>
      <c r="D10" s="19">
        <f>ROUNDUP($D$5/12000,0)</f>
        <v/>
      </c>
      <c r="E10" s="20">
        <f>D10*27+ROUNDUP($D$5/85000,0)*60</f>
        <v/>
      </c>
      <c r="F10" s="21">
        <f>E10*$D$6</f>
        <v/>
      </c>
      <c r="G10" s="22">
        <f>F10-E10</f>
        <v/>
      </c>
      <c r="H10" s="16" t="n"/>
    </row>
    <row r="11">
      <c r="A11" s="9" t="n"/>
      <c r="B11" s="10" t="inlineStr">
        <is>
          <t>Step 3: Grub Prevention + Fert</t>
        </is>
      </c>
      <c r="C11" s="11" t="inlineStr">
        <is>
          <t>LESCO Merit 0.2% 14-0-0</t>
        </is>
      </c>
      <c r="D11" s="12">
        <f>ROUNDUP($D$5/14200,0)</f>
        <v/>
      </c>
      <c r="E11" s="13">
        <f>D11*65</f>
        <v/>
      </c>
      <c r="F11" s="14">
        <f>E11*$D$6</f>
        <v/>
      </c>
      <c r="G11" s="15">
        <f>F11-E11</f>
        <v/>
      </c>
      <c r="H11" s="9" t="n"/>
    </row>
    <row r="12">
      <c r="A12" s="16" t="n"/>
      <c r="B12" s="17" t="inlineStr">
        <is>
          <t>Step 4: Fall Recovery</t>
        </is>
      </c>
      <c r="C12" s="18" t="inlineStr">
        <is>
          <t>LESCO 24-0-11 50% PolyPlus</t>
        </is>
      </c>
      <c r="D12" s="19">
        <f>ROUNDUP($D$5/12000,0)</f>
        <v/>
      </c>
      <c r="E12" s="20">
        <f>D12*48+ROUNDUP($D$5/85000,0)*60</f>
        <v/>
      </c>
      <c r="F12" s="21">
        <f>E12*$D$6</f>
        <v/>
      </c>
      <c r="G12" s="22">
        <f>F12-E12</f>
        <v/>
      </c>
      <c r="H12" s="16" t="n"/>
    </row>
    <row r="13">
      <c r="A13" s="9" t="n"/>
      <c r="B13" s="10" t="inlineStr">
        <is>
          <t>Step 5: Winterizer</t>
        </is>
      </c>
      <c r="C13" s="11" t="inlineStr">
        <is>
          <t>LESCO 32-0-10 100% NOS Plus SOP</t>
        </is>
      </c>
      <c r="D13" s="12">
        <f>ROUNDUP($D$5/16000,0)</f>
        <v/>
      </c>
      <c r="E13" s="13">
        <f>D13*63</f>
        <v/>
      </c>
      <c r="F13" s="14">
        <f>E13*$D$6</f>
        <v/>
      </c>
      <c r="G13" s="15">
        <f>F13-E13</f>
        <v/>
      </c>
      <c r="H13" s="9" t="n"/>
    </row>
    <row r="14">
      <c r="B14" s="23" t="inlineStr">
        <is>
          <t>FULL 5-STEP PROGRAM TOTALS</t>
        </is>
      </c>
      <c r="C14" s="24" t="n"/>
      <c r="D14" s="25" t="n"/>
      <c r="E14" s="26">
        <f>SUM(E9:E13)</f>
        <v/>
      </c>
      <c r="F14" s="27">
        <f>SUM(F9:F13)</f>
        <v/>
      </c>
      <c r="G14" s="27">
        <f>SUM(G9:G13)</f>
        <v/>
      </c>
      <c r="H14" s="28" t="n"/>
    </row>
    <row r="16">
      <c r="B16" s="29" t="inlineStr">
        <is>
          <t>MATERIAL COST PER VISIT (avg):</t>
        </is>
      </c>
      <c r="E16" s="30">
        <f>E14/5</f>
        <v/>
      </c>
    </row>
    <row r="17">
      <c r="B17" s="29" t="inlineStr">
        <is>
          <t>YOUR CHARGE PER VISIT (avg):</t>
        </is>
      </c>
      <c r="F17" s="31">
        <f>F14/5</f>
        <v/>
      </c>
    </row>
    <row r="19">
      <c r="B19" s="32" t="inlineStr">
        <is>
          <t>QUICK REFERENCE — COMMON PROPERTY SIZES</t>
        </is>
      </c>
    </row>
    <row r="20">
      <c r="A20" t="inlineStr"/>
      <c r="B20" s="33" t="inlineStr">
        <is>
          <t>PROPERTY SIZE</t>
        </is>
      </c>
      <c r="C20" s="33" t="inlineStr">
        <is>
          <t>TOTAL MATERIAL</t>
        </is>
      </c>
      <c r="D20" s="33" t="inlineStr">
        <is>
          <t>YOUR CHARGE</t>
        </is>
      </c>
      <c r="E20" s="33" t="inlineStr">
        <is>
          <t>YOUR PROFIT</t>
        </is>
      </c>
      <c r="F20" s="33" t="inlineStr">
        <is>
          <t>PROFIT MARGIN</t>
        </is>
      </c>
      <c r="G20" s="33" t="inlineStr"/>
      <c r="H20" t="inlineStr"/>
    </row>
    <row r="21">
      <c r="B21" s="34" t="inlineStr">
        <is>
          <t>5,000 sqft</t>
        </is>
      </c>
      <c r="C21" s="35">
        <f>ROUNDUP(5000/12500,0)*28+ROUNDUP(5000/12000,0)*27+ROUNDUP(5000/85000,0)*60+ROUNDUP(5000/14200,0)*65+ROUNDUP(5000/12000,0)*48+ROUNDUP(5000/85000,0)*60+ROUNDUP(5000/16000,0)*63</f>
        <v/>
      </c>
      <c r="D21" s="36">
        <f>C21*$D$6</f>
        <v/>
      </c>
      <c r="E21" s="37">
        <f>D21-C21</f>
        <v/>
      </c>
      <c r="F21" s="38">
        <f>E21/D21</f>
        <v/>
      </c>
    </row>
    <row r="22">
      <c r="B22" s="39" t="inlineStr">
        <is>
          <t>8,000 sqft</t>
        </is>
      </c>
      <c r="C22" s="40">
        <f>ROUNDUP(8000/12500,0)*28+ROUNDUP(8000/12000,0)*27+ROUNDUP(8000/85000,0)*60+ROUNDUP(8000/14200,0)*65+ROUNDUP(8000/12000,0)*48+ROUNDUP(8000/85000,0)*60+ROUNDUP(8000/16000,0)*63</f>
        <v/>
      </c>
      <c r="D22" s="41">
        <f>C22*$D$6</f>
        <v/>
      </c>
      <c r="E22" s="42">
        <f>D22-C22</f>
        <v/>
      </c>
      <c r="F22" s="43">
        <f>E22/D22</f>
        <v/>
      </c>
    </row>
    <row r="23">
      <c r="B23" s="34" t="inlineStr">
        <is>
          <t>10,000 sqft</t>
        </is>
      </c>
      <c r="C23" s="35">
        <f>ROUNDUP(10000/12500,0)*28+ROUNDUP(10000/12000,0)*27+ROUNDUP(10000/85000,0)*60+ROUNDUP(10000/14200,0)*65+ROUNDUP(10000/12000,0)*48+ROUNDUP(10000/85000,0)*60+ROUNDUP(10000/16000,0)*63</f>
        <v/>
      </c>
      <c r="D23" s="36">
        <f>C23*$D$6</f>
        <v/>
      </c>
      <c r="E23" s="37">
        <f>D23-C23</f>
        <v/>
      </c>
      <c r="F23" s="38">
        <f>E23/D23</f>
        <v/>
      </c>
    </row>
    <row r="24">
      <c r="B24" s="39" t="inlineStr">
        <is>
          <t>15,000 sqft</t>
        </is>
      </c>
      <c r="C24" s="40">
        <f>ROUNDUP(15000/12500,0)*28+ROUNDUP(15000/12000,0)*27+ROUNDUP(15000/85000,0)*60+ROUNDUP(15000/14200,0)*65+ROUNDUP(15000/12000,0)*48+ROUNDUP(15000/85000,0)*60+ROUNDUP(15000/16000,0)*63</f>
        <v/>
      </c>
      <c r="D24" s="41">
        <f>C24*$D$6</f>
        <v/>
      </c>
      <c r="E24" s="42">
        <f>D24-C24</f>
        <v/>
      </c>
      <c r="F24" s="43">
        <f>E24/D24</f>
        <v/>
      </c>
    </row>
    <row r="25">
      <c r="B25" s="34" t="inlineStr">
        <is>
          <t>20,000 sqft</t>
        </is>
      </c>
      <c r="C25" s="35">
        <f>ROUNDUP(20000/12500,0)*28+ROUNDUP(20000/12000,0)*27+ROUNDUP(20000/85000,0)*60+ROUNDUP(20000/14200,0)*65+ROUNDUP(20000/12000,0)*48+ROUNDUP(20000/85000,0)*60+ROUNDUP(20000/16000,0)*63</f>
        <v/>
      </c>
      <c r="D25" s="36">
        <f>C25*$D$6</f>
        <v/>
      </c>
      <c r="E25" s="37">
        <f>D25-C25</f>
        <v/>
      </c>
      <c r="F25" s="38">
        <f>E25/D25</f>
        <v/>
      </c>
    </row>
    <row r="26">
      <c r="B26" s="39" t="inlineStr">
        <is>
          <t>40,000 sqft</t>
        </is>
      </c>
      <c r="C26" s="40">
        <f>ROUNDUP(40000/12500,0)*28+ROUNDUP(40000/12000,0)*27+ROUNDUP(40000/85000,0)*60+ROUNDUP(40000/14200,0)*65+ROUNDUP(40000/12000,0)*48+ROUNDUP(40000/85000,0)*60+ROUNDUP(40000/16000,0)*63</f>
        <v/>
      </c>
      <c r="D26" s="41">
        <f>C26*$D$6</f>
        <v/>
      </c>
      <c r="E26" s="42">
        <f>D26-C26</f>
        <v/>
      </c>
      <c r="F26" s="43">
        <f>E26/D26</f>
        <v/>
      </c>
    </row>
    <row r="27">
      <c r="B27" s="34" t="inlineStr">
        <is>
          <t>80,000 sqft</t>
        </is>
      </c>
      <c r="C27" s="35">
        <f>ROUNDUP(80000/12500,0)*28+ROUNDUP(80000/12000,0)*27+ROUNDUP(80000/85000,0)*60+ROUNDUP(80000/14200,0)*65+ROUNDUP(80000/12000,0)*48+ROUNDUP(80000/85000,0)*60+ROUNDUP(80000/16000,0)*63</f>
        <v/>
      </c>
      <c r="D27" s="36">
        <f>C27*$D$6</f>
        <v/>
      </c>
      <c r="E27" s="37">
        <f>D27-C27</f>
        <v/>
      </c>
      <c r="F27" s="38">
        <f>E27/D27</f>
        <v/>
      </c>
    </row>
    <row r="29">
      <c r="B29" s="44" t="inlineStr">
        <is>
          <t>NOTE: Prices based on SiteOne estimated pricing. Actual costs may vary by branch/volume. Trimec herbicide included in Steps 2 &amp; 4.</t>
        </is>
      </c>
    </row>
    <row r="30">
      <c r="B30" s="45" t="inlineStr">
        <is>
          <t>TIP: Change the blue input cells (sq footage &amp; markup) to recalculate everything instantly.</t>
        </is>
      </c>
    </row>
  </sheetData>
  <mergeCells count="12">
    <mergeCell ref="B19:G19"/>
    <mergeCell ref="B6:C6"/>
    <mergeCell ref="A3:H3"/>
    <mergeCell ref="E6:F6"/>
    <mergeCell ref="B16:C16"/>
    <mergeCell ref="B5:C5"/>
    <mergeCell ref="B30:G30"/>
    <mergeCell ref="E5:F5"/>
    <mergeCell ref="B14:C14"/>
    <mergeCell ref="B17:C17"/>
    <mergeCell ref="A1:H2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  <col width="55" customWidth="1" min="9" max="9"/>
    <col width="3" customWidth="1" min="10" max="10"/>
  </cols>
  <sheetData>
    <row r="1">
      <c r="A1" s="1" t="inlineStr">
        <is>
          <t>PRODUCT DATABASE — SITEONE LANDSCAPE SUPPLY</t>
        </is>
      </c>
    </row>
    <row r="2"/>
    <row r="3">
      <c r="A3" s="2" t="inlineStr">
        <is>
          <t>All products verified on SiteOne.com  |  Prices are estimates (login required for exact pricing)  |  Links are clickable</t>
        </is>
      </c>
    </row>
    <row r="5">
      <c r="B5" s="46" t="inlineStr">
        <is>
          <t>STEP 1 — EARLY SPRING: Pre-Emergent + Fertilizer (Late April – Early May)</t>
        </is>
      </c>
    </row>
    <row r="6">
      <c r="B6" s="47" t="inlineStr">
        <is>
          <t>Apply when soil temps reach 55°F consistently</t>
        </is>
      </c>
    </row>
    <row r="7">
      <c r="B7" s="48" t="inlineStr">
        <is>
          <t>Type</t>
        </is>
      </c>
      <c r="C7" s="48" t="inlineStr">
        <is>
          <t>Product Name</t>
        </is>
      </c>
      <c r="D7" s="48" t="inlineStr">
        <is>
          <t>SKU</t>
        </is>
      </c>
      <c r="E7" s="48" t="inlineStr">
        <is>
          <t>NPK</t>
        </is>
      </c>
      <c r="F7" s="48" t="inlineStr">
        <is>
          <t>Bag Size</t>
        </is>
      </c>
      <c r="G7" s="48" t="inlineStr">
        <is>
          <t>Coverage</t>
        </is>
      </c>
      <c r="H7" s="48" t="inlineStr">
        <is>
          <t>Est. Price</t>
        </is>
      </c>
      <c r="I7" s="48" t="inlineStr">
        <is>
          <t>Notes / Why</t>
        </is>
      </c>
    </row>
    <row r="8">
      <c r="B8" s="49" t="inlineStr">
        <is>
          <t>RECOMMENDED</t>
        </is>
      </c>
      <c r="C8" s="50" t="inlineStr">
        <is>
          <t>LESCO Stonewall 0.43% 19-0-7 30% PolyPlus OPTI45</t>
        </is>
      </c>
      <c r="D8" s="51" t="inlineStr">
        <is>
          <t>702053</t>
        </is>
      </c>
      <c r="E8" s="51" t="inlineStr">
        <is>
          <t>19-0-7</t>
        </is>
      </c>
      <c r="F8" s="51" t="inlineStr">
        <is>
          <t>50 lb</t>
        </is>
      </c>
      <c r="G8" s="51" t="inlineStr">
        <is>
          <t>12,500 sqft</t>
        </is>
      </c>
      <c r="H8" s="51" t="inlineStr">
        <is>
          <t>$23–$35</t>
        </is>
      </c>
      <c r="I8" s="52" t="inlineStr">
        <is>
          <t>Best value. LESCO house brand = cheapest at SiteOne. 0.43% Prodiamine is strong crabgrass barrier.</t>
        </is>
      </c>
    </row>
    <row r="9">
      <c r="B9" s="53" t="inlineStr">
        <is>
          <t>ALTERNATIVE</t>
        </is>
      </c>
      <c r="C9" s="54" t="inlineStr">
        <is>
          <t>Lebanon Pro Prodiamine 0.38% 18-0-4 25% CRN</t>
        </is>
      </c>
      <c r="D9" s="55" t="inlineStr">
        <is>
          <t>2241024</t>
        </is>
      </c>
      <c r="E9" s="55" t="inlineStr">
        <is>
          <t>18-0-4</t>
        </is>
      </c>
      <c r="F9" s="55" t="inlineStr">
        <is>
          <t>50 lb</t>
        </is>
      </c>
      <c r="G9" s="55" t="inlineStr">
        <is>
          <t>12,500 sqft</t>
        </is>
      </c>
      <c r="H9" s="55" t="inlineStr">
        <is>
          <t>$38–$45</t>
        </is>
      </c>
      <c r="I9" s="56" t="inlineStr">
        <is>
          <t>Better NPK for spring feeding. Higher price but premium quality.</t>
        </is>
      </c>
    </row>
    <row r="10">
      <c r="B10" s="57" t="inlineStr">
        <is>
          <t>PREMIUM</t>
        </is>
      </c>
      <c r="C10" s="58" t="inlineStr">
        <is>
          <t>LESCO Dimension 0.15% 19-0-0 30% PolyPlus OPTI45</t>
        </is>
      </c>
      <c r="D10" s="59" t="inlineStr">
        <is>
          <t>702022</t>
        </is>
      </c>
      <c r="E10" s="59" t="inlineStr">
        <is>
          <t>19-0-0</t>
        </is>
      </c>
      <c r="F10" s="59" t="inlineStr">
        <is>
          <t>50 lb</t>
        </is>
      </c>
      <c r="G10" s="59" t="inlineStr">
        <is>
          <t>12,500 sqft</t>
        </is>
      </c>
      <c r="H10" s="59" t="inlineStr">
        <is>
          <t>$25–$35</t>
        </is>
      </c>
      <c r="I10" s="60" t="inlineStr">
        <is>
          <t>Dimension (Dithiopyr) has early post-emergent activity on young crabgrass that Prodiamine does not.</t>
        </is>
      </c>
    </row>
    <row r="12">
      <c r="B12" s="46" t="inlineStr">
        <is>
          <t>STEP 2 — LATE SPRING: Weed Control + Feeding (Late May – Early June)</t>
        </is>
      </c>
    </row>
    <row r="13">
      <c r="B13" s="47" t="inlineStr">
        <is>
          <t>Spray when weeds are actively growing. Spread fertilizer same week.</t>
        </is>
      </c>
    </row>
    <row r="14">
      <c r="B14" s="48" t="inlineStr">
        <is>
          <t>Type</t>
        </is>
      </c>
      <c r="C14" s="48" t="inlineStr">
        <is>
          <t>Product Name</t>
        </is>
      </c>
      <c r="D14" s="48" t="inlineStr">
        <is>
          <t>SKU</t>
        </is>
      </c>
      <c r="E14" s="48" t="inlineStr">
        <is>
          <t>NPK</t>
        </is>
      </c>
      <c r="F14" s="48" t="inlineStr">
        <is>
          <t>Bag Size</t>
        </is>
      </c>
      <c r="G14" s="48" t="inlineStr">
        <is>
          <t>Coverage</t>
        </is>
      </c>
      <c r="H14" s="48" t="inlineStr">
        <is>
          <t>Est. Price</t>
        </is>
      </c>
      <c r="I14" s="48" t="inlineStr">
        <is>
          <t>Notes / Why</t>
        </is>
      </c>
    </row>
    <row r="15">
      <c r="B15" s="49" t="inlineStr">
        <is>
          <t>RECOMMENDED (Fertilizer)</t>
        </is>
      </c>
      <c r="C15" s="50" t="inlineStr">
        <is>
          <t>LESCO 24-0-6 50% PolyPlus OPTI BIO MOP</t>
        </is>
      </c>
      <c r="D15" s="51" t="inlineStr">
        <is>
          <t>511484</t>
        </is>
      </c>
      <c r="E15" s="51" t="inlineStr">
        <is>
          <t>24-0-6</t>
        </is>
      </c>
      <c r="F15" s="51" t="inlineStr">
        <is>
          <t>50 lb</t>
        </is>
      </c>
      <c r="G15" s="51" t="inlineStr">
        <is>
          <t>12,000 sqft</t>
        </is>
      </c>
      <c r="H15" s="51" t="inlineStr">
        <is>
          <t>$19–$35</t>
        </is>
      </c>
      <c r="I15" s="52" t="inlineStr">
        <is>
          <t>50% controlled-release nitrogen. Biosolids for organic matter. Great balanced feed.</t>
        </is>
      </c>
    </row>
    <row r="16">
      <c r="B16" s="49" t="inlineStr">
        <is>
          <t>RECOMMENDED (Herbicide)</t>
        </is>
      </c>
      <c r="C16" s="50" t="inlineStr">
        <is>
          <t>Trimec Classic Broadleaf Herbicide — 1 gal</t>
        </is>
      </c>
      <c r="D16" s="51" t="inlineStr">
        <is>
          <t>8811076</t>
        </is>
      </c>
      <c r="E16" s="51" t="inlineStr">
        <is>
          <t>N/A</t>
        </is>
      </c>
      <c r="F16" s="51" t="inlineStr">
        <is>
          <t>1 gallon</t>
        </is>
      </c>
      <c r="G16" s="51" t="inlineStr">
        <is>
          <t>~85,000 sqft</t>
        </is>
      </c>
      <c r="H16" s="51" t="inlineStr">
        <is>
          <t>$55–$70</t>
        </is>
      </c>
      <c r="I16" s="52" t="inlineStr">
        <is>
          <t>Industry standard 3-way (2,4-D + Dicamba + MCPP). Controls 90+ broadleaf weeds. 1.5 oz/1,000 sqft rate.</t>
        </is>
      </c>
    </row>
    <row r="17">
      <c r="B17" s="57" t="inlineStr">
        <is>
          <t>BULK (Herbicide)</t>
        </is>
      </c>
      <c r="C17" s="58" t="inlineStr">
        <is>
          <t>Trimec Classic Broadleaf Herbicide — 2.5 gal</t>
        </is>
      </c>
      <c r="D17" s="59" t="inlineStr">
        <is>
          <t>8811126</t>
        </is>
      </c>
      <c r="E17" s="59" t="inlineStr">
        <is>
          <t>N/A</t>
        </is>
      </c>
      <c r="F17" s="59" t="inlineStr">
        <is>
          <t>2.5 gallon</t>
        </is>
      </c>
      <c r="G17" s="59" t="inlineStr">
        <is>
          <t>~213,000 sqft</t>
        </is>
      </c>
      <c r="H17" s="59" t="inlineStr">
        <is>
          <t>$130–$170</t>
        </is>
      </c>
      <c r="I17" s="60" t="inlineStr">
        <is>
          <t>Better value for high volume. Same product, bigger jug. Requires pesticide applicator license.</t>
        </is>
      </c>
    </row>
    <row r="18">
      <c r="B18" s="53" t="inlineStr">
        <is>
          <t>ALTERNATIVE (Herbicide)</t>
        </is>
      </c>
      <c r="C18" s="54" t="inlineStr">
        <is>
          <t>Nufarm Triplet SF Herbicide — 2.5 gal</t>
        </is>
      </c>
      <c r="D18" s="55" t="inlineStr">
        <is>
          <t>10447225</t>
        </is>
      </c>
      <c r="E18" s="55" t="inlineStr">
        <is>
          <t>N/A</t>
        </is>
      </c>
      <c r="F18" s="55" t="inlineStr">
        <is>
          <t>2.5 gallon</t>
        </is>
      </c>
      <c r="G18" s="55" t="inlineStr">
        <is>
          <t>~213,000 sqft</t>
        </is>
      </c>
      <c r="H18" s="55" t="inlineStr">
        <is>
          <t>$80–$110</t>
        </is>
      </c>
      <c r="I18" s="56" t="inlineStr">
        <is>
          <t>Generic 3-way blend. Cheaper than Trimec, same active ingredients. Good budget option.</t>
        </is>
      </c>
    </row>
    <row r="20">
      <c r="B20" s="46" t="inlineStr">
        <is>
          <t>STEP 3 — EARLY SUMMER: Grub Prevention + Fertilizer (Late June – Early July)</t>
        </is>
      </c>
    </row>
    <row r="21">
      <c r="B21" s="47" t="inlineStr">
        <is>
          <t>Apply before grub eggs hatch. Preventative, not curative.</t>
        </is>
      </c>
    </row>
    <row r="22">
      <c r="B22" s="48" t="inlineStr">
        <is>
          <t>Type</t>
        </is>
      </c>
      <c r="C22" s="48" t="inlineStr">
        <is>
          <t>Product Name</t>
        </is>
      </c>
      <c r="D22" s="48" t="inlineStr">
        <is>
          <t>SKU</t>
        </is>
      </c>
      <c r="E22" s="48" t="inlineStr">
        <is>
          <t>NPK</t>
        </is>
      </c>
      <c r="F22" s="48" t="inlineStr">
        <is>
          <t>Bag Size</t>
        </is>
      </c>
      <c r="G22" s="48" t="inlineStr">
        <is>
          <t>Coverage</t>
        </is>
      </c>
      <c r="H22" s="48" t="inlineStr">
        <is>
          <t>Est. Price</t>
        </is>
      </c>
      <c r="I22" s="48" t="inlineStr">
        <is>
          <t>Notes / Why</t>
        </is>
      </c>
    </row>
    <row r="23">
      <c r="B23" s="49" t="inlineStr">
        <is>
          <t>RECOMMENDED (Combo)</t>
        </is>
      </c>
      <c r="C23" s="50" t="inlineStr">
        <is>
          <t>LESCO Merit 0.2% 14-0-0 30% PolyPlus OPTI45 Insecticide + Fert</t>
        </is>
      </c>
      <c r="D23" s="51" t="inlineStr">
        <is>
          <t>291485</t>
        </is>
      </c>
      <c r="E23" s="51" t="inlineStr">
        <is>
          <t>14-0-0</t>
        </is>
      </c>
      <c r="F23" s="51" t="inlineStr">
        <is>
          <t>50 lb</t>
        </is>
      </c>
      <c r="G23" s="51" t="inlineStr">
        <is>
          <t>14,200 sqft</t>
        </is>
      </c>
      <c r="H23" s="51" t="inlineStr">
        <is>
          <t>$55–$75</t>
        </is>
      </c>
      <c r="I23" s="52" t="inlineStr">
        <is>
          <t>One-pass combo: grub prevention + summer feeding. Merit (Imidacloprid) is the industry standard.</t>
        </is>
      </c>
    </row>
    <row r="24">
      <c r="B24" s="53" t="inlineStr">
        <is>
          <t>PREMIUM (Combo)</t>
        </is>
      </c>
      <c r="C24" s="54" t="inlineStr">
        <is>
          <t>LESCO Acelepryn 0.067% 20-0-5 75% PolyPlus OPTI45 2Fe</t>
        </is>
      </c>
      <c r="D24" s="55" t="inlineStr">
        <is>
          <t>291610</t>
        </is>
      </c>
      <c r="E24" s="55" t="inlineStr">
        <is>
          <t>20-0-5</t>
        </is>
      </c>
      <c r="F24" s="55" t="inlineStr">
        <is>
          <t>50 lb</t>
        </is>
      </c>
      <c r="G24" s="55" t="inlineStr">
        <is>
          <t>14,500 sqft</t>
        </is>
      </c>
      <c r="H24" s="55" t="inlineStr">
        <is>
          <t>$85–$110</t>
        </is>
      </c>
      <c r="I24" s="56" t="inlineStr">
        <is>
          <t>Premium option. Acelepryn (Chlorantraniliprole) = lower pollinator toxicity, longer residual. Better NPK too.</t>
        </is>
      </c>
    </row>
    <row r="25">
      <c r="B25" s="57" t="inlineStr">
        <is>
          <t>BUDGET (Separate)</t>
        </is>
      </c>
      <c r="C25" s="58" t="inlineStr">
        <is>
          <t>Quali-Pro Imidacloprid 0.5G (grub only) + LESCO 18-0-3</t>
        </is>
      </c>
      <c r="D25" s="59" t="inlineStr">
        <is>
          <t>83014299</t>
        </is>
      </c>
      <c r="E25" s="59" t="inlineStr">
        <is>
          <t>N/A + 18-0-3</t>
        </is>
      </c>
      <c r="F25" s="59" t="inlineStr">
        <is>
          <t>30 lb + 50 lb</t>
        </is>
      </c>
      <c r="G25" s="59" t="inlineStr">
        <is>
          <t>16,500 + 14,000 sqft</t>
        </is>
      </c>
      <c r="H25" s="59" t="inlineStr">
        <is>
          <t>$30–$45 + $35–$50</t>
        </is>
      </c>
      <c r="I25" s="60" t="inlineStr">
        <is>
          <t>Generic imidacloprid for grubs + separate light summer fert. Two passes but cheapest option.</t>
        </is>
      </c>
    </row>
    <row r="27">
      <c r="B27" s="46" t="inlineStr">
        <is>
          <t>STEP 4 — LATE SUMMER/EARLY FALL: Lawn Recovery (Late Aug – Early Sep)</t>
        </is>
      </c>
    </row>
    <row r="28">
      <c r="B28" s="47" t="inlineStr">
        <is>
          <t>Repair summer stress. This is when grass starts growing aggressively again.</t>
        </is>
      </c>
    </row>
    <row r="29">
      <c r="B29" s="48" t="inlineStr">
        <is>
          <t>Type</t>
        </is>
      </c>
      <c r="C29" s="48" t="inlineStr">
        <is>
          <t>Product Name</t>
        </is>
      </c>
      <c r="D29" s="48" t="inlineStr">
        <is>
          <t>SKU</t>
        </is>
      </c>
      <c r="E29" s="48" t="inlineStr">
        <is>
          <t>NPK</t>
        </is>
      </c>
      <c r="F29" s="48" t="inlineStr">
        <is>
          <t>Bag Size</t>
        </is>
      </c>
      <c r="G29" s="48" t="inlineStr">
        <is>
          <t>Coverage</t>
        </is>
      </c>
      <c r="H29" s="48" t="inlineStr">
        <is>
          <t>Est. Price</t>
        </is>
      </c>
      <c r="I29" s="48" t="inlineStr">
        <is>
          <t>Notes / Why</t>
        </is>
      </c>
    </row>
    <row r="30">
      <c r="B30" s="49" t="inlineStr">
        <is>
          <t>RECOMMENDED</t>
        </is>
      </c>
      <c r="C30" s="50" t="inlineStr">
        <is>
          <t>LESCO 24-0-11 50% PolyPlus OPTI 2% Fe 1% Mn MOP</t>
        </is>
      </c>
      <c r="D30" s="51" t="inlineStr">
        <is>
          <t>098631</t>
        </is>
      </c>
      <c r="E30" s="51" t="inlineStr">
        <is>
          <t>24-0-11</t>
        </is>
      </c>
      <c r="F30" s="51" t="inlineStr">
        <is>
          <t>50 lb</t>
        </is>
      </c>
      <c r="G30" s="51" t="inlineStr">
        <is>
          <t>12,000 sqft</t>
        </is>
      </c>
      <c r="H30" s="51" t="inlineStr">
        <is>
          <t>$40–$55</t>
        </is>
      </c>
      <c r="I30" s="52" t="inlineStr">
        <is>
          <t>Iron + Manganese = dark green color. Potassium builds winter hardiness. The recovery king.</t>
        </is>
      </c>
    </row>
    <row r="31">
      <c r="B31" s="53" t="inlineStr">
        <is>
          <t>ALTERNATIVE</t>
        </is>
      </c>
      <c r="C31" s="54" t="inlineStr">
        <is>
          <t>LESCO 24-0-10 75% PolyPlus OPTI45 Spar-TECH</t>
        </is>
      </c>
      <c r="D31" s="55" t="inlineStr">
        <is>
          <t>511673</t>
        </is>
      </c>
      <c r="E31" s="55" t="inlineStr">
        <is>
          <t>24-0-10</t>
        </is>
      </c>
      <c r="F31" s="55" t="inlineStr">
        <is>
          <t>50 lb</t>
        </is>
      </c>
      <c r="G31" s="55" t="inlineStr">
        <is>
          <t>12,000 sqft</t>
        </is>
      </c>
      <c r="H31" s="55" t="inlineStr">
        <is>
          <t>$45–$60</t>
        </is>
      </c>
      <c r="I31" s="56" t="inlineStr">
        <is>
          <t>75% slow-release = feeds longer. Spar-TECH coating technology. Premium option.</t>
        </is>
      </c>
    </row>
    <row r="32">
      <c r="B32" s="57" t="inlineStr">
        <is>
          <t>HERBICIDE (pair with above)</t>
        </is>
      </c>
      <c r="C32" s="58" t="inlineStr">
        <is>
          <t>Trimec Classic — same as Step 2</t>
        </is>
      </c>
      <c r="D32" s="59" t="inlineStr">
        <is>
          <t>8811076</t>
        </is>
      </c>
      <c r="E32" s="59" t="inlineStr">
        <is>
          <t>N/A</t>
        </is>
      </c>
      <c r="F32" s="59" t="inlineStr">
        <is>
          <t>1 gallon</t>
        </is>
      </c>
      <c r="G32" s="59" t="inlineStr">
        <is>
          <t>~85,000 sqft</t>
        </is>
      </c>
      <c r="H32" s="59" t="inlineStr">
        <is>
          <t>$55–$70</t>
        </is>
      </c>
      <c r="I32" s="60" t="inlineStr">
        <is>
          <t>Fall is the BEST time to spray broadleaf weeds in Wisconsin. Weeds are pulling nutrients to roots = herbicide goes deeper.</t>
        </is>
      </c>
    </row>
    <row r="34">
      <c r="B34" s="46" t="inlineStr">
        <is>
          <t>STEP 5 — LATE FALL: Winterizer (Mid October – Early November)</t>
        </is>
      </c>
    </row>
    <row r="35">
      <c r="B35" s="47" t="inlineStr">
        <is>
          <t>Last application of the year. Grass is still growing roots even after top growth stops.</t>
        </is>
      </c>
    </row>
    <row r="36">
      <c r="B36" s="48" t="inlineStr">
        <is>
          <t>Type</t>
        </is>
      </c>
      <c r="C36" s="48" t="inlineStr">
        <is>
          <t>Product Name</t>
        </is>
      </c>
      <c r="D36" s="48" t="inlineStr">
        <is>
          <t>SKU</t>
        </is>
      </c>
      <c r="E36" s="48" t="inlineStr">
        <is>
          <t>NPK</t>
        </is>
      </c>
      <c r="F36" s="48" t="inlineStr">
        <is>
          <t>Bag Size</t>
        </is>
      </c>
      <c r="G36" s="48" t="inlineStr">
        <is>
          <t>Coverage</t>
        </is>
      </c>
      <c r="H36" s="48" t="inlineStr">
        <is>
          <t>Est. Price</t>
        </is>
      </c>
      <c r="I36" s="48" t="inlineStr">
        <is>
          <t>Notes / Why</t>
        </is>
      </c>
    </row>
    <row r="37">
      <c r="B37" s="49" t="inlineStr">
        <is>
          <t>RECOMMENDED</t>
        </is>
      </c>
      <c r="C37" s="50" t="inlineStr">
        <is>
          <t>LESCO 32-0-10 100% NOS Plus SOP Mini Granular</t>
        </is>
      </c>
      <c r="D37" s="51" t="inlineStr">
        <is>
          <t>511153</t>
        </is>
      </c>
      <c r="E37" s="51" t="inlineStr">
        <is>
          <t>32-0-10</t>
        </is>
      </c>
      <c r="F37" s="51" t="inlineStr">
        <is>
          <t>50 lb</t>
        </is>
      </c>
      <c r="G37" s="51" t="inlineStr">
        <is>
          <t>16,000 sqft</t>
        </is>
      </c>
      <c r="H37" s="51" t="inlineStr">
        <is>
          <t>$55–$75</t>
        </is>
      </c>
      <c r="I37" s="52" t="inlineStr">
        <is>
          <t>THE winterizer. NOS Plus stabilized nitrogen maximizes root storage. SOP = chloride-free potassium. Mini granule = best coverage.</t>
        </is>
      </c>
    </row>
    <row r="38">
      <c r="B38" s="53" t="inlineStr">
        <is>
          <t>ALTERNATIVE</t>
        </is>
      </c>
      <c r="C38" s="54" t="inlineStr">
        <is>
          <t>LESCO 32-0-10 75% PolyPlus 2% Fe</t>
        </is>
      </c>
      <c r="D38" s="55" t="inlineStr">
        <is>
          <t>510124</t>
        </is>
      </c>
      <c r="E38" s="55" t="inlineStr">
        <is>
          <t>32-0-10</t>
        </is>
      </c>
      <c r="F38" s="55" t="inlineStr">
        <is>
          <t>50 lb</t>
        </is>
      </c>
      <c r="G38" s="55" t="inlineStr">
        <is>
          <t>16,000 sqft</t>
        </is>
      </c>
      <c r="H38" s="55" t="inlineStr">
        <is>
          <t>$50–$70</t>
        </is>
      </c>
      <c r="I38" s="56" t="inlineStr">
        <is>
          <t>Same NPK, polymer-coated instead of NOS. 2% Iron for late-season color. Slightly cheaper.</t>
        </is>
      </c>
    </row>
    <row r="39">
      <c r="B39" s="57" t="inlineStr">
        <is>
          <t>BUDGET</t>
        </is>
      </c>
      <c r="C39" s="58" t="inlineStr">
        <is>
          <t>LESCO 30-0-10 25% PolyPlus</t>
        </is>
      </c>
      <c r="D39" s="59" t="inlineStr">
        <is>
          <t>510120</t>
        </is>
      </c>
      <c r="E39" s="59" t="inlineStr">
        <is>
          <t>30-0-10</t>
        </is>
      </c>
      <c r="F39" s="59" t="inlineStr">
        <is>
          <t>50 lb</t>
        </is>
      </c>
      <c r="G39" s="59" t="inlineStr">
        <is>
          <t>18,750 sqft</t>
        </is>
      </c>
      <c r="H39" s="59" t="inlineStr">
        <is>
          <t>$45–$65</t>
        </is>
      </c>
      <c r="I39" s="60" t="inlineStr">
        <is>
          <t>Covers more area per bag (18,750 sqft). Lower slow-release %. Good budget winterizer.</t>
        </is>
      </c>
    </row>
    <row r="42">
      <c r="B42" s="61" t="inlineStr">
        <is>
          <t>IMPORTANT NOTES</t>
        </is>
      </c>
    </row>
    <row r="43">
      <c r="B43" s="62" t="inlineStr">
        <is>
          <t>• All prices are ESTIMATES. SiteOne requires a professional account login for exact pricing. Call your local branch.</t>
        </is>
      </c>
    </row>
    <row r="44">
      <c r="B44" s="62" t="inlineStr">
        <is>
          <t>• LESCO is SiteOne's house brand — always the best pricing at SiteOne locations.</t>
        </is>
      </c>
    </row>
    <row r="45">
      <c r="B45" s="62" t="inlineStr">
        <is>
          <t>• Trimec Classic requires a pesticide applicator license to purchase.</t>
        </is>
      </c>
    </row>
    <row r="46">
      <c r="B46" s="62" t="inlineStr">
        <is>
          <t>• Wisconsin SiteOne locations: Madison, Milwaukee, Green Bay, Appleton, Waukesha, Brookfield.</t>
        </is>
      </c>
    </row>
    <row r="47">
      <c r="B47" s="62" t="inlineStr">
        <is>
          <t>• Buy by the pallet for best pricing. Typical pro discount is 15-25% below retail.</t>
        </is>
      </c>
    </row>
    <row r="48">
      <c r="B48" s="62" t="inlineStr">
        <is>
          <t>• Product links are clickable — they go directly to the SiteOne product page.</t>
        </is>
      </c>
    </row>
  </sheetData>
  <mergeCells count="19">
    <mergeCell ref="B47:I47"/>
    <mergeCell ref="A3:I3"/>
    <mergeCell ref="B46:I46"/>
    <mergeCell ref="B27:I27"/>
    <mergeCell ref="B43:I43"/>
    <mergeCell ref="B12:I12"/>
    <mergeCell ref="B21:I21"/>
    <mergeCell ref="B48:I48"/>
    <mergeCell ref="B42:I42"/>
    <mergeCell ref="A1:I2"/>
    <mergeCell ref="B13:I13"/>
    <mergeCell ref="B44:I44"/>
    <mergeCell ref="B34:I34"/>
    <mergeCell ref="B28:I28"/>
    <mergeCell ref="B6:I6"/>
    <mergeCell ref="B20:I20"/>
    <mergeCell ref="B5:I5"/>
    <mergeCell ref="B45:I45"/>
    <mergeCell ref="B35:I35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18" r:id="rId7"/>
    <hyperlink xmlns:r="http://schemas.openxmlformats.org/officeDocument/2006/relationships" ref="C23" r:id="rId8"/>
    <hyperlink xmlns:r="http://schemas.openxmlformats.org/officeDocument/2006/relationships" ref="C24" r:id="rId9"/>
    <hyperlink xmlns:r="http://schemas.openxmlformats.org/officeDocument/2006/relationships" ref="C25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2B788"/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>
      <c r="A1" s="1" t="inlineStr">
        <is>
          <t>PROFIT ANALYSIS — FERTILIZER PROGRAM</t>
        </is>
      </c>
    </row>
    <row r="2"/>
    <row r="3">
      <c r="A3" s="2" t="inlineStr">
        <is>
          <t>Material cost vs. revenue at different markup levels  |  Linked to Quote Calculator inputs</t>
        </is>
      </c>
    </row>
    <row r="5">
      <c r="B5" s="61" t="inlineStr">
        <is>
          <t>MARKUP COMPARISON (based on Quote Calculator sq footage)</t>
        </is>
      </c>
    </row>
    <row r="6">
      <c r="B6" s="63" t="inlineStr"/>
      <c r="C6" s="33" t="inlineStr">
        <is>
          <t>Material Cost</t>
        </is>
      </c>
      <c r="D6" s="33" t="inlineStr">
        <is>
          <t>2.0x Markup</t>
        </is>
      </c>
      <c r="E6" s="33" t="inlineStr">
        <is>
          <t>2.5x Markup</t>
        </is>
      </c>
      <c r="F6" s="33" t="inlineStr">
        <is>
          <t>3.0x Markup</t>
        </is>
      </c>
      <c r="G6" s="33" t="inlineStr">
        <is>
          <t>3.5x Markup</t>
        </is>
      </c>
      <c r="H6" s="33" t="inlineStr">
        <is>
          <t>4.0x Markup</t>
        </is>
      </c>
    </row>
    <row r="7">
      <c r="B7" s="64" t="inlineStr">
        <is>
          <t>Step 1: Pre-Emergent + Fert</t>
        </is>
      </c>
      <c r="C7" s="13">
        <f>'QUOTE CALCULATOR'!E9</f>
        <v/>
      </c>
      <c r="D7" s="65">
        <f>C7*2.0</f>
        <v/>
      </c>
      <c r="E7" s="65">
        <f>C7*2.5</f>
        <v/>
      </c>
      <c r="F7" s="65">
        <f>C7*3.0</f>
        <v/>
      </c>
      <c r="G7" s="65">
        <f>C7*3.5</f>
        <v/>
      </c>
      <c r="H7" s="65">
        <f>C7*4.0</f>
        <v/>
      </c>
    </row>
    <row r="8">
      <c r="B8" s="66" t="inlineStr">
        <is>
          <t>Step 2: Weed Control + Feed</t>
        </is>
      </c>
      <c r="C8" s="20">
        <f>'QUOTE CALCULATOR'!E10</f>
        <v/>
      </c>
      <c r="D8" s="67">
        <f>C8*2.0</f>
        <v/>
      </c>
      <c r="E8" s="67">
        <f>C8*2.5</f>
        <v/>
      </c>
      <c r="F8" s="67">
        <f>C8*3.0</f>
        <v/>
      </c>
      <c r="G8" s="67">
        <f>C8*3.5</f>
        <v/>
      </c>
      <c r="H8" s="67">
        <f>C8*4.0</f>
        <v/>
      </c>
    </row>
    <row r="9">
      <c r="B9" s="64" t="inlineStr">
        <is>
          <t>Step 3: Grub Prevention + Fert</t>
        </is>
      </c>
      <c r="C9" s="13">
        <f>'QUOTE CALCULATOR'!E11</f>
        <v/>
      </c>
      <c r="D9" s="65">
        <f>C9*2.0</f>
        <v/>
      </c>
      <c r="E9" s="65">
        <f>C9*2.5</f>
        <v/>
      </c>
      <c r="F9" s="65">
        <f>C9*3.0</f>
        <v/>
      </c>
      <c r="G9" s="65">
        <f>C9*3.5</f>
        <v/>
      </c>
      <c r="H9" s="65">
        <f>C9*4.0</f>
        <v/>
      </c>
    </row>
    <row r="10">
      <c r="B10" s="66" t="inlineStr">
        <is>
          <t>Step 4: Fall Recovery</t>
        </is>
      </c>
      <c r="C10" s="20">
        <f>'QUOTE CALCULATOR'!E12</f>
        <v/>
      </c>
      <c r="D10" s="67">
        <f>C10*2.0</f>
        <v/>
      </c>
      <c r="E10" s="67">
        <f>C10*2.5</f>
        <v/>
      </c>
      <c r="F10" s="67">
        <f>C10*3.0</f>
        <v/>
      </c>
      <c r="G10" s="67">
        <f>C10*3.5</f>
        <v/>
      </c>
      <c r="H10" s="67">
        <f>C10*4.0</f>
        <v/>
      </c>
    </row>
    <row r="11">
      <c r="B11" s="64" t="inlineStr">
        <is>
          <t>Step 5: Winterizer</t>
        </is>
      </c>
      <c r="C11" s="13">
        <f>'QUOTE CALCULATOR'!E13</f>
        <v/>
      </c>
      <c r="D11" s="65">
        <f>C11*2.0</f>
        <v/>
      </c>
      <c r="E11" s="65">
        <f>C11*2.5</f>
        <v/>
      </c>
      <c r="F11" s="65">
        <f>C11*3.0</f>
        <v/>
      </c>
      <c r="G11" s="65">
        <f>C11*3.5</f>
        <v/>
      </c>
      <c r="H11" s="65">
        <f>C11*4.0</f>
        <v/>
      </c>
    </row>
    <row r="12">
      <c r="B12" s="68" t="inlineStr">
        <is>
          <t>FULL PROGRAM TOTAL</t>
        </is>
      </c>
      <c r="C12" s="69">
        <f>SUM(C7:C11)</f>
        <v/>
      </c>
      <c r="D12" s="70">
        <f>SUM(D7:D11)</f>
        <v/>
      </c>
      <c r="E12" s="70">
        <f>SUM(E7:E11)</f>
        <v/>
      </c>
      <c r="F12" s="70">
        <f>SUM(F7:F11)</f>
        <v/>
      </c>
      <c r="G12" s="70">
        <f>SUM(G7:G11)</f>
        <v/>
      </c>
      <c r="H12" s="70">
        <f>SUM(H7:H11)</f>
        <v/>
      </c>
    </row>
    <row r="13">
      <c r="B13" s="71" t="inlineStr">
        <is>
          <t>PROFIT</t>
        </is>
      </c>
      <c r="C13" s="72" t="n"/>
      <c r="D13" s="73">
        <f>D12-C12</f>
        <v/>
      </c>
      <c r="E13" s="73">
        <f>E12-C12</f>
        <v/>
      </c>
      <c r="F13" s="73">
        <f>F12-C12</f>
        <v/>
      </c>
      <c r="G13" s="73">
        <f>G12-C12</f>
        <v/>
      </c>
      <c r="H13" s="73">
        <f>H12-C12</f>
        <v/>
      </c>
    </row>
    <row r="15">
      <c r="B15" s="61" t="inlineStr">
        <is>
          <t>SEASONAL REVENUE PROJECTIONS</t>
        </is>
      </c>
    </row>
    <row r="16">
      <c r="B16" s="3" t="inlineStr">
        <is>
          <t>NUMBER OF PROGRAM CUSTOMERS:</t>
        </is>
      </c>
      <c r="D16" s="74" t="n">
        <v>25</v>
      </c>
    </row>
    <row r="18">
      <c r="B18" s="33" t="inlineStr">
        <is>
          <t>Per Customer</t>
        </is>
      </c>
      <c r="C18" s="33" t="inlineStr">
        <is>
          <t>25 Customers</t>
        </is>
      </c>
      <c r="D18" s="33" t="inlineStr">
        <is>
          <t>50 Customers</t>
        </is>
      </c>
      <c r="E18" s="33" t="inlineStr">
        <is>
          <t>75 Customers</t>
        </is>
      </c>
      <c r="F18" s="33" t="inlineStr">
        <is>
          <t>100 Customers</t>
        </is>
      </c>
      <c r="G18" s="33" t="inlineStr"/>
    </row>
    <row r="19">
      <c r="B19" s="64" t="inlineStr">
        <is>
          <t>Total Revenue (2.5x)</t>
        </is>
      </c>
      <c r="C19" s="35">
        <f>'QUOTE CALCULATOR'!E14*2.5</f>
        <v/>
      </c>
      <c r="D19" s="36">
        <f>C19*25</f>
        <v/>
      </c>
      <c r="E19" s="36">
        <f>C19*50</f>
        <v/>
      </c>
      <c r="F19" s="36">
        <f>C19*75</f>
        <v/>
      </c>
      <c r="G19" s="36">
        <f>C19*100</f>
        <v/>
      </c>
    </row>
    <row r="20">
      <c r="B20" s="66" t="inlineStr">
        <is>
          <t>Total Revenue (3.0x)</t>
        </is>
      </c>
      <c r="C20" s="40">
        <f>'QUOTE CALCULATOR'!E14*3.0</f>
        <v/>
      </c>
      <c r="D20" s="41">
        <f>C20*25</f>
        <v/>
      </c>
      <c r="E20" s="41">
        <f>C20*50</f>
        <v/>
      </c>
      <c r="F20" s="41">
        <f>C20*75</f>
        <v/>
      </c>
      <c r="G20" s="41">
        <f>C20*100</f>
        <v/>
      </c>
    </row>
    <row r="21">
      <c r="B21" s="64" t="inlineStr">
        <is>
          <t>Total Revenue (3.5x)</t>
        </is>
      </c>
      <c r="C21" s="35">
        <f>'QUOTE CALCULATOR'!E14*3.5</f>
        <v/>
      </c>
      <c r="D21" s="36">
        <f>C21*25</f>
        <v/>
      </c>
      <c r="E21" s="36">
        <f>C21*50</f>
        <v/>
      </c>
      <c r="F21" s="36">
        <f>C21*75</f>
        <v/>
      </c>
      <c r="G21" s="36">
        <f>C21*100</f>
        <v/>
      </c>
    </row>
    <row r="22">
      <c r="B22" s="75" t="inlineStr">
        <is>
          <t>Total Material Cost</t>
        </is>
      </c>
      <c r="C22" s="76">
        <f>'QUOTE CALCULATOR'!E14</f>
        <v/>
      </c>
      <c r="D22" s="76">
        <f>C22*25</f>
        <v/>
      </c>
      <c r="E22" s="76">
        <f>C22*50</f>
        <v/>
      </c>
      <c r="F22" s="76">
        <f>C22*75</f>
        <v/>
      </c>
      <c r="G22" s="76">
        <f>C22*100</f>
        <v/>
      </c>
    </row>
    <row r="24">
      <c r="B24" s="61" t="inlineStr">
        <is>
          <t>PRO TIPS</t>
        </is>
      </c>
    </row>
    <row r="25">
      <c r="B25" s="62" t="inlineStr">
        <is>
          <t>• The industry standard markup for lawn fertilization is 2.5x–3.0x material cost.</t>
        </is>
      </c>
    </row>
    <row r="26">
      <c r="B26" s="62" t="inlineStr">
        <is>
          <t>• Steps 4 &amp; 5 (fall applications) are what actually build thick lawns. Never skip them.</t>
        </is>
      </c>
    </row>
    <row r="27">
      <c r="B27" s="62" t="inlineStr">
        <is>
          <t>• Upsell aeration + overseeding in September — that's where the real margin is.</t>
        </is>
      </c>
    </row>
    <row r="28">
      <c r="B28" s="62" t="inlineStr">
        <is>
          <t>• Buy product in bulk at start of season. Pallet pricing saves 15-25% at SiteOne.</t>
        </is>
      </c>
    </row>
    <row r="29">
      <c r="B29" s="62" t="inlineStr">
        <is>
          <t>• Grub control (Step 3) can be charged as a separate premium add-on instead of included.</t>
        </is>
      </c>
    </row>
    <row r="30">
      <c r="B30" s="62" t="inlineStr">
        <is>
          <t>• Commercial properties (40K+ sqft) should get volume pricing — lower markup, higher total profit.</t>
        </is>
      </c>
    </row>
  </sheetData>
  <mergeCells count="12">
    <mergeCell ref="A3:H3"/>
    <mergeCell ref="B16:C16"/>
    <mergeCell ref="B26:H26"/>
    <mergeCell ref="B27:H27"/>
    <mergeCell ref="B24:H24"/>
    <mergeCell ref="B30:H30"/>
    <mergeCell ref="B15:H15"/>
    <mergeCell ref="B29:H29"/>
    <mergeCell ref="B25:H25"/>
    <mergeCell ref="A1:H2"/>
    <mergeCell ref="B5:H5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2026-03-13T14:21:32Z</dcterms:created>
  <dcterms:modified xsi:type="dcterms:W3CDTF">2026-03-13T14:21:32Z</dcterms:modified>
</cp:coreProperties>
</file>