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nses" sheetId="1" state="visible" r:id="rId1"/>
    <sheet name="Gas &amp; Fuel" sheetId="2" state="visible" r:id="rId2"/>
    <sheet name="Mileage" sheetId="3" state="visible" r:id="rId3"/>
    <sheet name="Monthly Summary" sheetId="4" state="visible" r:id="rId4"/>
    <sheet name="Tax Summary" sheetId="5" state="visible" r:id="rId5"/>
  </sheets>
  <definedNames>
    <definedName name="_xlnm.Print_Titles" localSheetId="0">'Expenses'!$1:$2</definedName>
    <definedName name="_xlnm.Print_Titles" localSheetId="1">'Gas &amp; Fuel'!$1:$2</definedName>
    <definedName name="_xlnm.Print_Titles" localSheetId="2">'Mileage'!$1:$2</definedName>
    <definedName name="_xlnm.Print_Titles" localSheetId="3">'Monthly Summary'!$1:$2</definedName>
    <definedName name="_xlnm.Print_Titles" localSheetId="4">'Tax Summary'!$1:$2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$#,##0.00"/>
    <numFmt numFmtId="166" formatCode="#,##0.000"/>
    <numFmt numFmtId="167" formatCode="$#,##0.000"/>
    <numFmt numFmtId="168" formatCode="#,##0.0"/>
    <numFmt numFmtId="169" formatCode="#,##0.1"/>
    <numFmt numFmtId="170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1B4332"/>
      <sz val="16"/>
    </font>
    <font>
      <name val="Arial"/>
      <b val="1"/>
      <color rgb="00FFFFFF"/>
      <sz val="11"/>
    </font>
    <font>
      <name val="Arial"/>
      <b val="1"/>
      <sz val="12"/>
    </font>
    <font>
      <name val="Arial"/>
      <i val="1"/>
      <color rgb="001B4332"/>
      <sz val="10"/>
    </font>
    <font>
      <name val="Arial"/>
      <b val="1"/>
      <sz val="11"/>
    </font>
    <font>
      <name val="Arial"/>
      <b val="1"/>
      <i val="1"/>
      <color rgb="001B4332"/>
      <sz val="11"/>
    </font>
    <font>
      <name val="Arial"/>
      <b val="1"/>
      <color rgb="001B4332"/>
      <sz val="14"/>
    </font>
    <font>
      <name val="Arial"/>
      <sz val="11"/>
    </font>
    <font>
      <name val="Arial"/>
      <i val="1"/>
      <color rgb="00888888"/>
      <sz val="9"/>
    </font>
  </fonts>
  <fills count="7">
    <fill>
      <patternFill/>
    </fill>
    <fill>
      <patternFill patternType="gray125"/>
    </fill>
    <fill>
      <patternFill patternType="solid">
        <fgColor rgb="00D8F3DC"/>
      </patternFill>
    </fill>
    <fill>
      <patternFill patternType="solid">
        <fgColor rgb="001B4332"/>
      </patternFill>
    </fill>
    <fill>
      <patternFill patternType="solid">
        <fgColor rgb="00FFFFFF"/>
      </patternFill>
    </fill>
    <fill>
      <patternFill patternType="solid">
        <fgColor rgb="00F8F9FA"/>
      </patternFill>
    </fill>
    <fill>
      <patternFill patternType="solid">
        <fgColor rgb="0095D5B2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 vertical="center"/>
    </xf>
    <xf numFmtId="165" fontId="3" fillId="6" borderId="2" applyAlignment="1" pivotButton="0" quotePrefix="0" xfId="0">
      <alignment horizontal="right" vertical="center"/>
    </xf>
    <xf numFmtId="166" fontId="0" fillId="4" borderId="1" applyAlignment="1" pivotButton="0" quotePrefix="0" xfId="0">
      <alignment vertical="center"/>
    </xf>
    <xf numFmtId="167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6" fontId="0" fillId="5" borderId="1" applyAlignment="1" pivotButton="0" quotePrefix="0" xfId="0">
      <alignment vertical="center"/>
    </xf>
    <xf numFmtId="167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5" fontId="3" fillId="6" borderId="2" pivotButton="0" quotePrefix="0" xfId="0"/>
    <xf numFmtId="168" fontId="0" fillId="4" borderId="1" applyAlignment="1" pivotButton="0" quotePrefix="0" xfId="0">
      <alignment vertical="center"/>
    </xf>
    <xf numFmtId="169" fontId="0" fillId="4" borderId="1" applyAlignment="1" pivotButton="0" quotePrefix="0" xfId="0">
      <alignment vertical="center"/>
    </xf>
    <xf numFmtId="168" fontId="0" fillId="5" borderId="1" applyAlignment="1" pivotButton="0" quotePrefix="0" xfId="0">
      <alignment vertical="center"/>
    </xf>
    <xf numFmtId="169" fontId="0" fillId="5" borderId="1" applyAlignment="1" pivotButton="0" quotePrefix="0" xfId="0">
      <alignment vertical="center"/>
    </xf>
    <xf numFmtId="169" fontId="3" fillId="6" borderId="2" pivotButton="0" quotePrefix="0" xfId="0"/>
    <xf numFmtId="0" fontId="4" fillId="0" borderId="0" pivotButton="0" quotePrefix="0" xfId="0"/>
    <xf numFmtId="0" fontId="5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0" fontId="3" fillId="6" borderId="2" pivotButton="0" quotePrefix="0" xfId="0"/>
    <xf numFmtId="0" fontId="6" fillId="0" borderId="0" pivotButton="0" quotePrefix="0" xfId="0"/>
    <xf numFmtId="165" fontId="7" fillId="0" borderId="2" pivotButton="0" quotePrefix="0" xfId="0"/>
    <xf numFmtId="0" fontId="8" fillId="4" borderId="1" applyAlignment="1" pivotButton="0" quotePrefix="0" xfId="0">
      <alignment vertical="center"/>
    </xf>
    <xf numFmtId="170" fontId="0" fillId="4" borderId="1" applyAlignment="1" pivotButton="0" quotePrefix="0" xfId="0">
      <alignment vertical="center"/>
    </xf>
    <xf numFmtId="0" fontId="8" fillId="5" borderId="1" applyAlignment="1" pivotButton="0" quotePrefix="0" xfId="0">
      <alignment vertical="center"/>
    </xf>
    <xf numFmtId="170" fontId="0" fillId="5" borderId="1" applyAlignment="1" pivotButton="0" quotePrefix="0" xfId="0">
      <alignment vertical="center"/>
    </xf>
    <xf numFmtId="170" fontId="3" fillId="6" borderId="2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4EDDA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0" customWidth="1" min="3" max="3"/>
    <col width="30" customWidth="1" min="4" max="4"/>
    <col width="14" customWidth="1" min="5" max="5"/>
    <col width="16" customWidth="1" min="6" max="6"/>
    <col width="14" customWidth="1" min="7" max="7"/>
    <col width="16" customWidth="1" min="8" max="8"/>
    <col width="24" customWidth="1" min="9" max="9"/>
    <col width="10" customWidth="1" min="10" max="10"/>
    <col width="28" customWidth="1" min="11" max="11"/>
  </cols>
  <sheetData>
    <row r="1" ht="36" customHeight="1">
      <c r="A1" s="1" t="inlineStr">
        <is>
          <t>TOTALGUARD YARD CARE — 2026 EXPENSE TRACKER</t>
        </is>
      </c>
    </row>
    <row r="2" ht="28" customHeight="1">
      <c r="A2" s="2" t="inlineStr">
        <is>
          <t>#</t>
        </is>
      </c>
      <c r="B2" s="2" t="inlineStr">
        <is>
          <t>Date</t>
        </is>
      </c>
      <c r="C2" s="2" t="inlineStr">
        <is>
          <t>Category</t>
        </is>
      </c>
      <c r="D2" s="2" t="inlineStr">
        <is>
          <t>Vendor/Description</t>
        </is>
      </c>
      <c r="E2" s="2" t="inlineStr">
        <is>
          <t>Amount</t>
        </is>
      </c>
      <c r="F2" s="2" t="inlineStr">
        <is>
          <t>Payment Method</t>
        </is>
      </c>
      <c r="G2" s="2" t="inlineStr">
        <is>
          <t>Recurring?</t>
        </is>
      </c>
      <c r="H2" s="2" t="inlineStr">
        <is>
          <t>Tax Deductible?</t>
        </is>
      </c>
      <c r="I2" s="2" t="inlineStr">
        <is>
          <t>Schedule C Category</t>
        </is>
      </c>
      <c r="J2" s="2" t="inlineStr">
        <is>
          <t>Receipt?</t>
        </is>
      </c>
      <c r="K2" s="2" t="inlineStr">
        <is>
          <t>Notes</t>
        </is>
      </c>
    </row>
    <row r="3">
      <c r="A3" s="3" t="n">
        <v>1</v>
      </c>
      <c r="B3" s="4" t="n">
        <v>46032</v>
      </c>
      <c r="C3" s="5" t="inlineStr">
        <is>
          <t>Phone/Communications</t>
        </is>
      </c>
      <c r="D3" s="5" t="inlineStr">
        <is>
          <t>Quo phone app</t>
        </is>
      </c>
      <c r="E3" s="6" t="n">
        <v>19.59</v>
      </c>
      <c r="F3" s="5" t="inlineStr">
        <is>
          <t>ACH/Bank</t>
        </is>
      </c>
      <c r="G3" s="5" t="inlineStr">
        <is>
          <t>Monthly</t>
        </is>
      </c>
      <c r="H3" s="5" t="inlineStr">
        <is>
          <t>Yes</t>
        </is>
      </c>
      <c r="I3" s="5" t="inlineStr">
        <is>
          <t>Line 25 - Utilities</t>
        </is>
      </c>
      <c r="J3" s="5" t="inlineStr">
        <is>
          <t>No</t>
        </is>
      </c>
      <c r="K3" s="5" t="n"/>
    </row>
    <row r="4">
      <c r="A4" s="7" t="n">
        <v>2</v>
      </c>
      <c r="B4" s="8" t="n">
        <v>46032</v>
      </c>
      <c r="C4" s="9" t="inlineStr">
        <is>
          <t>Software/SaaS</t>
        </is>
      </c>
      <c r="D4" s="9" t="inlineStr">
        <is>
          <t>Lovable Website Builder</t>
        </is>
      </c>
      <c r="E4" s="10" t="n">
        <v>15</v>
      </c>
      <c r="F4" s="9" t="inlineStr">
        <is>
          <t>Credit Card</t>
        </is>
      </c>
      <c r="G4" s="9" t="inlineStr">
        <is>
          <t>Monthly</t>
        </is>
      </c>
      <c r="H4" s="9" t="inlineStr">
        <is>
          <t>Yes</t>
        </is>
      </c>
      <c r="I4" s="9" t="inlineStr">
        <is>
          <t>Line 27a - Other Expenses</t>
        </is>
      </c>
      <c r="J4" s="9" t="inlineStr">
        <is>
          <t>No</t>
        </is>
      </c>
      <c r="K4" s="9" t="n"/>
    </row>
    <row r="5">
      <c r="A5" s="3" t="n">
        <v>3</v>
      </c>
      <c r="B5" s="4" t="n">
        <v>46032</v>
      </c>
      <c r="C5" s="5" t="inlineStr">
        <is>
          <t>Software/SaaS</t>
        </is>
      </c>
      <c r="D5" s="5" t="inlineStr">
        <is>
          <t>Porkbun Domains</t>
        </is>
      </c>
      <c r="E5" s="6" t="n">
        <v>22</v>
      </c>
      <c r="F5" s="5" t="inlineStr">
        <is>
          <t>Credit Card</t>
        </is>
      </c>
      <c r="G5" s="5" t="inlineStr">
        <is>
          <t>Annual</t>
        </is>
      </c>
      <c r="H5" s="5" t="inlineStr">
        <is>
          <t>Yes</t>
        </is>
      </c>
      <c r="I5" s="5" t="inlineStr">
        <is>
          <t>Line 27a - Other Expenses</t>
        </is>
      </c>
      <c r="J5" s="5" t="inlineStr">
        <is>
          <t>No</t>
        </is>
      </c>
      <c r="K5" s="5" t="n"/>
    </row>
    <row r="6">
      <c r="A6" s="7" t="n">
        <v>4</v>
      </c>
      <c r="B6" s="8" t="n">
        <v>46037</v>
      </c>
      <c r="C6" s="9" t="inlineStr">
        <is>
          <t>Training/Education</t>
        </is>
      </c>
      <c r="D6" s="9" t="inlineStr">
        <is>
          <t>Pearson VUE exam</t>
        </is>
      </c>
      <c r="E6" s="10" t="n">
        <v>45</v>
      </c>
      <c r="F6" s="9" t="inlineStr">
        <is>
          <t>Credit Card</t>
        </is>
      </c>
      <c r="G6" s="9" t="inlineStr">
        <is>
          <t>One-Time</t>
        </is>
      </c>
      <c r="H6" s="9" t="inlineStr">
        <is>
          <t>Yes</t>
        </is>
      </c>
      <c r="I6" s="9" t="inlineStr">
        <is>
          <t>Line 27a - Other Expenses</t>
        </is>
      </c>
      <c r="J6" s="9" t="inlineStr">
        <is>
          <t>No</t>
        </is>
      </c>
      <c r="K6" s="9" t="n"/>
    </row>
    <row r="7">
      <c r="A7" s="3" t="n">
        <v>5</v>
      </c>
      <c r="B7" s="4" t="n">
        <v>46037</v>
      </c>
      <c r="C7" s="5" t="inlineStr">
        <is>
          <t>Licensing/Permits</t>
        </is>
      </c>
      <c r="D7" s="5" t="inlineStr">
        <is>
          <t>License application fee</t>
        </is>
      </c>
      <c r="E7" s="6" t="n">
        <v>45</v>
      </c>
      <c r="F7" s="5" t="inlineStr">
        <is>
          <t>Check</t>
        </is>
      </c>
      <c r="G7" s="5" t="inlineStr">
        <is>
          <t>One-Time</t>
        </is>
      </c>
      <c r="H7" s="5" t="inlineStr">
        <is>
          <t>Yes</t>
        </is>
      </c>
      <c r="I7" s="5" t="inlineStr">
        <is>
          <t>Line 27a - Other Expenses</t>
        </is>
      </c>
      <c r="J7" s="5" t="inlineStr">
        <is>
          <t>No</t>
        </is>
      </c>
      <c r="K7" s="5" t="n"/>
    </row>
    <row r="8">
      <c r="A8" s="7" t="n">
        <v>6</v>
      </c>
      <c r="B8" s="8" t="n">
        <v>46042</v>
      </c>
      <c r="C8" s="9" t="inlineStr">
        <is>
          <t>Insurance</t>
        </is>
      </c>
      <c r="D8" s="9" t="inlineStr">
        <is>
          <t>Pekin Liability Insurance</t>
        </is>
      </c>
      <c r="E8" s="10" t="n">
        <v>86</v>
      </c>
      <c r="F8" s="9" t="inlineStr">
        <is>
          <t>ACH/Bank</t>
        </is>
      </c>
      <c r="G8" s="9" t="inlineStr">
        <is>
          <t>Annual</t>
        </is>
      </c>
      <c r="H8" s="9" t="inlineStr">
        <is>
          <t>Yes</t>
        </is>
      </c>
      <c r="I8" s="9" t="inlineStr">
        <is>
          <t>Line 15 - Insurance</t>
        </is>
      </c>
      <c r="J8" s="9" t="inlineStr">
        <is>
          <t>No</t>
        </is>
      </c>
      <c r="K8" s="9" t="n"/>
    </row>
    <row r="9">
      <c r="A9" s="3" t="n">
        <v>7</v>
      </c>
      <c r="B9" s="4" t="n">
        <v>46042</v>
      </c>
      <c r="C9" s="5" t="inlineStr">
        <is>
          <t>Software/SaaS</t>
        </is>
      </c>
      <c r="D9" s="5" t="inlineStr">
        <is>
          <t>Lovable Website Builder</t>
        </is>
      </c>
      <c r="E9" s="6" t="n">
        <v>12.5</v>
      </c>
      <c r="F9" s="5" t="inlineStr">
        <is>
          <t>Credit Card</t>
        </is>
      </c>
      <c r="G9" s="5" t="inlineStr">
        <is>
          <t>Monthly</t>
        </is>
      </c>
      <c r="H9" s="5" t="inlineStr">
        <is>
          <t>Yes</t>
        </is>
      </c>
      <c r="I9" s="5" t="inlineStr">
        <is>
          <t>Line 27a - Other Expenses</t>
        </is>
      </c>
      <c r="J9" s="5" t="inlineStr">
        <is>
          <t>No</t>
        </is>
      </c>
      <c r="K9" s="5" t="n"/>
    </row>
    <row r="10">
      <c r="A10" s="7" t="n">
        <v>8</v>
      </c>
      <c r="B10" s="8" t="n">
        <v>46047</v>
      </c>
      <c r="C10" s="9" t="inlineStr">
        <is>
          <t>Equipment</t>
        </is>
      </c>
      <c r="D10" s="9" t="inlineStr">
        <is>
          <t>Monitor</t>
        </is>
      </c>
      <c r="E10" s="10" t="n">
        <v>105</v>
      </c>
      <c r="F10" s="9" t="inlineStr">
        <is>
          <t>Credit Card</t>
        </is>
      </c>
      <c r="G10" s="9" t="inlineStr">
        <is>
          <t>One-Time</t>
        </is>
      </c>
      <c r="H10" s="9" t="inlineStr">
        <is>
          <t>Yes</t>
        </is>
      </c>
      <c r="I10" s="9" t="inlineStr">
        <is>
          <t>Line 22 - Supplies</t>
        </is>
      </c>
      <c r="J10" s="9" t="inlineStr">
        <is>
          <t>No</t>
        </is>
      </c>
      <c r="K10" s="9" t="n"/>
    </row>
    <row r="11">
      <c r="A11" s="3" t="n">
        <v>9</v>
      </c>
      <c r="B11" s="4" t="n">
        <v>46052</v>
      </c>
      <c r="C11" s="5" t="inlineStr">
        <is>
          <t>Software/SaaS</t>
        </is>
      </c>
      <c r="D11" s="5" t="inlineStr">
        <is>
          <t>Chat subscription</t>
        </is>
      </c>
      <c r="E11" s="6" t="n">
        <v>20</v>
      </c>
      <c r="F11" s="5" t="inlineStr">
        <is>
          <t>Credit Card</t>
        </is>
      </c>
      <c r="G11" s="5" t="inlineStr">
        <is>
          <t>Monthly</t>
        </is>
      </c>
      <c r="H11" s="5" t="inlineStr">
        <is>
          <t>Yes</t>
        </is>
      </c>
      <c r="I11" s="5" t="inlineStr">
        <is>
          <t>Line 27a - Other Expenses</t>
        </is>
      </c>
      <c r="J11" s="5" t="inlineStr">
        <is>
          <t>No</t>
        </is>
      </c>
      <c r="K11" s="5" t="n"/>
    </row>
    <row r="12">
      <c r="A12" s="7" t="n">
        <v>10</v>
      </c>
      <c r="B12" s="8" t="n">
        <v>46054</v>
      </c>
      <c r="C12" s="9" t="inlineStr">
        <is>
          <t>Software/SaaS</t>
        </is>
      </c>
      <c r="D12" s="9" t="inlineStr">
        <is>
          <t>Claude Code</t>
        </is>
      </c>
      <c r="E12" s="10" t="n">
        <v>100</v>
      </c>
      <c r="F12" s="9" t="inlineStr">
        <is>
          <t>Credit Card</t>
        </is>
      </c>
      <c r="G12" s="9" t="inlineStr">
        <is>
          <t>Monthly</t>
        </is>
      </c>
      <c r="H12" s="9" t="inlineStr">
        <is>
          <t>Yes</t>
        </is>
      </c>
      <c r="I12" s="9" t="inlineStr">
        <is>
          <t>Line 27a - Other Expenses</t>
        </is>
      </c>
      <c r="J12" s="9" t="inlineStr">
        <is>
          <t>No</t>
        </is>
      </c>
      <c r="K12" s="9" t="n"/>
    </row>
    <row r="13">
      <c r="A13" s="3" t="n">
        <v>11</v>
      </c>
      <c r="B13" s="4" t="n">
        <v>46054</v>
      </c>
      <c r="C13" s="5" t="inlineStr">
        <is>
          <t>Software/SaaS</t>
        </is>
      </c>
      <c r="D13" s="5" t="inlineStr">
        <is>
          <t>Brevo marketing</t>
        </is>
      </c>
      <c r="E13" s="6" t="n">
        <v>9</v>
      </c>
      <c r="F13" s="5" t="inlineStr">
        <is>
          <t>Credit Card</t>
        </is>
      </c>
      <c r="G13" s="5" t="inlineStr">
        <is>
          <t>Monthly</t>
        </is>
      </c>
      <c r="H13" s="5" t="inlineStr">
        <is>
          <t>Yes</t>
        </is>
      </c>
      <c r="I13" s="5" t="inlineStr">
        <is>
          <t>Line 8 - Advertising</t>
        </is>
      </c>
      <c r="J13" s="5" t="inlineStr">
        <is>
          <t>No</t>
        </is>
      </c>
      <c r="K13" s="5" t="n"/>
    </row>
    <row r="14">
      <c r="A14" s="7" t="n">
        <v>12</v>
      </c>
      <c r="B14" s="8" t="n">
        <v>46054</v>
      </c>
      <c r="C14" s="9" t="inlineStr">
        <is>
          <t>Software/SaaS</t>
        </is>
      </c>
      <c r="D14" s="9" t="inlineStr">
        <is>
          <t>n8n</t>
        </is>
      </c>
      <c r="E14" s="10" t="n">
        <v>24</v>
      </c>
      <c r="F14" s="9" t="inlineStr">
        <is>
          <t>Credit Card</t>
        </is>
      </c>
      <c r="G14" s="9" t="inlineStr">
        <is>
          <t>Monthly</t>
        </is>
      </c>
      <c r="H14" s="9" t="inlineStr">
        <is>
          <t>Yes</t>
        </is>
      </c>
      <c r="I14" s="9" t="inlineStr">
        <is>
          <t>Line 27a - Other Expenses</t>
        </is>
      </c>
      <c r="J14" s="9" t="inlineStr">
        <is>
          <t>No</t>
        </is>
      </c>
      <c r="K14" s="9" t="n"/>
    </row>
    <row r="15">
      <c r="A15" s="3" t="n">
        <v>13</v>
      </c>
      <c r="B15" s="4" t="n">
        <v>46054</v>
      </c>
      <c r="C15" s="5" t="inlineStr">
        <is>
          <t>Phone/Communications</t>
        </is>
      </c>
      <c r="D15" s="5" t="inlineStr">
        <is>
          <t>Twilio</t>
        </is>
      </c>
      <c r="E15" s="6" t="n">
        <v>20</v>
      </c>
      <c r="F15" s="5" t="inlineStr">
        <is>
          <t>Credit Card</t>
        </is>
      </c>
      <c r="G15" s="5" t="inlineStr">
        <is>
          <t>Monthly</t>
        </is>
      </c>
      <c r="H15" s="5" t="inlineStr">
        <is>
          <t>Yes</t>
        </is>
      </c>
      <c r="I15" s="5" t="inlineStr">
        <is>
          <t>Line 25 - Utilities</t>
        </is>
      </c>
      <c r="J15" s="5" t="inlineStr">
        <is>
          <t>No</t>
        </is>
      </c>
      <c r="K15" s="5" t="n"/>
    </row>
    <row r="16">
      <c r="A16" s="7" t="n">
        <v>14</v>
      </c>
      <c r="B16" s="8" t="n">
        <v>46054</v>
      </c>
      <c r="C16" s="9" t="inlineStr">
        <is>
          <t>Marketing/Advertising</t>
        </is>
      </c>
      <c r="D16" s="9" t="inlineStr">
        <is>
          <t>Reviews ($5/per)</t>
        </is>
      </c>
      <c r="E16" s="10" t="n">
        <v>45</v>
      </c>
      <c r="F16" s="9" t="inlineStr">
        <is>
          <t>Venmo</t>
        </is>
      </c>
      <c r="G16" s="9" t="inlineStr">
        <is>
          <t>One-Time</t>
        </is>
      </c>
      <c r="H16" s="9" t="inlineStr">
        <is>
          <t>Yes</t>
        </is>
      </c>
      <c r="I16" s="9" t="inlineStr">
        <is>
          <t>Line 8 - Advertising</t>
        </is>
      </c>
      <c r="J16" s="9" t="inlineStr">
        <is>
          <t>No</t>
        </is>
      </c>
      <c r="K16" s="9" t="n"/>
    </row>
    <row r="17">
      <c r="A17" s="3" t="n">
        <v>15</v>
      </c>
      <c r="B17" s="4" t="n">
        <v>46054</v>
      </c>
      <c r="C17" s="5" t="inlineStr">
        <is>
          <t>Software/SaaS</t>
        </is>
      </c>
      <c r="D17" s="5" t="inlineStr">
        <is>
          <t>Lovable Website Builder</t>
        </is>
      </c>
      <c r="E17" s="6" t="n">
        <v>30</v>
      </c>
      <c r="F17" s="5" t="inlineStr">
        <is>
          <t>Credit Card</t>
        </is>
      </c>
      <c r="G17" s="5" t="inlineStr">
        <is>
          <t>Monthly</t>
        </is>
      </c>
      <c r="H17" s="5" t="inlineStr">
        <is>
          <t>Yes</t>
        </is>
      </c>
      <c r="I17" s="5" t="inlineStr">
        <is>
          <t>Line 27a - Other Expenses</t>
        </is>
      </c>
      <c r="J17" s="5" t="inlineStr">
        <is>
          <t>No</t>
        </is>
      </c>
      <c r="K17" s="5" t="n"/>
    </row>
    <row r="18">
      <c r="A18" s="7" t="n">
        <v>16</v>
      </c>
      <c r="B18" s="8" t="n">
        <v>46062</v>
      </c>
      <c r="C18" s="9" t="inlineStr">
        <is>
          <t>Phone/Communications</t>
        </is>
      </c>
      <c r="D18" s="9" t="inlineStr">
        <is>
          <t>Quo (Biz phone)</t>
        </is>
      </c>
      <c r="E18" s="10" t="n">
        <v>22.01</v>
      </c>
      <c r="F18" s="9" t="inlineStr">
        <is>
          <t>ACH/Bank</t>
        </is>
      </c>
      <c r="G18" s="9" t="inlineStr">
        <is>
          <t>Monthly</t>
        </is>
      </c>
      <c r="H18" s="9" t="inlineStr">
        <is>
          <t>Yes</t>
        </is>
      </c>
      <c r="I18" s="9" t="inlineStr">
        <is>
          <t>Line 25 - Utilities</t>
        </is>
      </c>
      <c r="J18" s="9" t="inlineStr">
        <is>
          <t>No</t>
        </is>
      </c>
      <c r="K18" s="9" t="n"/>
    </row>
    <row r="19">
      <c r="A19" s="3" t="n">
        <v>17</v>
      </c>
      <c r="B19" s="4" t="n">
        <v>46065</v>
      </c>
      <c r="C19" s="5" t="inlineStr">
        <is>
          <t>Software/SaaS</t>
        </is>
      </c>
      <c r="D19" s="5" t="inlineStr">
        <is>
          <t>Lovable Website Builder</t>
        </is>
      </c>
      <c r="E19" s="6" t="n">
        <v>13</v>
      </c>
      <c r="F19" s="5" t="inlineStr">
        <is>
          <t>Credit Card</t>
        </is>
      </c>
      <c r="G19" s="5" t="inlineStr">
        <is>
          <t>Monthly</t>
        </is>
      </c>
      <c r="H19" s="5" t="inlineStr">
        <is>
          <t>Yes</t>
        </is>
      </c>
      <c r="I19" s="5" t="inlineStr">
        <is>
          <t>Line 27a - Other Expenses</t>
        </is>
      </c>
      <c r="J19" s="5" t="inlineStr">
        <is>
          <t>No</t>
        </is>
      </c>
      <c r="K19" s="5" t="n"/>
    </row>
    <row r="20">
      <c r="A20" s="7" t="n">
        <v>18</v>
      </c>
      <c r="B20" s="8" t="n">
        <v>46073</v>
      </c>
      <c r="C20" s="9" t="inlineStr">
        <is>
          <t>Equipment</t>
        </is>
      </c>
      <c r="D20" s="9" t="inlineStr">
        <is>
          <t>Trailer 5x10</t>
        </is>
      </c>
      <c r="E20" s="10" t="n">
        <v>1582</v>
      </c>
      <c r="F20" s="9" t="inlineStr">
        <is>
          <t>Check</t>
        </is>
      </c>
      <c r="G20" s="9" t="inlineStr">
        <is>
          <t>One-Time</t>
        </is>
      </c>
      <c r="H20" s="9" t="inlineStr">
        <is>
          <t>Yes</t>
        </is>
      </c>
      <c r="I20" s="9" t="inlineStr">
        <is>
          <t>Line 22 - Supplies</t>
        </is>
      </c>
      <c r="J20" s="9" t="inlineStr">
        <is>
          <t>No</t>
        </is>
      </c>
      <c r="K20" s="9" t="n"/>
    </row>
    <row r="21">
      <c r="A21" s="3" t="n">
        <v>19</v>
      </c>
      <c r="B21" s="4" t="n">
        <v>46076</v>
      </c>
      <c r="C21" s="5" t="inlineStr">
        <is>
          <t>Software/SaaS</t>
        </is>
      </c>
      <c r="D21" s="5" t="inlineStr">
        <is>
          <t>Claude Code</t>
        </is>
      </c>
      <c r="E21" s="6" t="n">
        <v>100</v>
      </c>
      <c r="F21" s="5" t="inlineStr">
        <is>
          <t>Credit Card</t>
        </is>
      </c>
      <c r="G21" s="5" t="inlineStr">
        <is>
          <t>Monthly</t>
        </is>
      </c>
      <c r="H21" s="5" t="inlineStr">
        <is>
          <t>Yes</t>
        </is>
      </c>
      <c r="I21" s="5" t="inlineStr">
        <is>
          <t>Line 27a - Other Expenses</t>
        </is>
      </c>
      <c r="J21" s="5" t="inlineStr">
        <is>
          <t>No</t>
        </is>
      </c>
      <c r="K21" s="5" t="n"/>
    </row>
    <row r="22">
      <c r="A22" s="7" t="n">
        <v>20</v>
      </c>
      <c r="B22" s="8" t="n">
        <v>46077</v>
      </c>
      <c r="C22" s="9" t="inlineStr">
        <is>
          <t>Training/Education</t>
        </is>
      </c>
      <c r="D22" s="9" t="inlineStr">
        <is>
          <t>Pearson VUE exam</t>
        </is>
      </c>
      <c r="E22" s="10" t="n">
        <v>45</v>
      </c>
      <c r="F22" s="9" t="inlineStr">
        <is>
          <t>Credit Card</t>
        </is>
      </c>
      <c r="G22" s="9" t="inlineStr">
        <is>
          <t>One-Time</t>
        </is>
      </c>
      <c r="H22" s="9" t="inlineStr">
        <is>
          <t>Yes</t>
        </is>
      </c>
      <c r="I22" s="9" t="inlineStr">
        <is>
          <t>Line 27a - Other Expenses</t>
        </is>
      </c>
      <c r="J22" s="9" t="inlineStr">
        <is>
          <t>No</t>
        </is>
      </c>
      <c r="K22" s="9" t="n"/>
    </row>
    <row r="23">
      <c r="A23" s="3" t="n">
        <v>21</v>
      </c>
      <c r="B23" s="4" t="n">
        <v>46078</v>
      </c>
      <c r="C23" s="5" t="inlineStr">
        <is>
          <t>Equipment</t>
        </is>
      </c>
      <c r="D23" s="5" t="inlineStr">
        <is>
          <t>Trailer Hooks</t>
        </is>
      </c>
      <c r="E23" s="6" t="n">
        <v>40</v>
      </c>
      <c r="F23" s="5" t="inlineStr">
        <is>
          <t>Cash</t>
        </is>
      </c>
      <c r="G23" s="5" t="inlineStr">
        <is>
          <t>One-Time</t>
        </is>
      </c>
      <c r="H23" s="5" t="inlineStr">
        <is>
          <t>Yes</t>
        </is>
      </c>
      <c r="I23" s="5" t="inlineStr">
        <is>
          <t>Line 22 - Supplies</t>
        </is>
      </c>
      <c r="J23" s="5" t="inlineStr">
        <is>
          <t>No</t>
        </is>
      </c>
      <c r="K23" s="5" t="n"/>
    </row>
    <row r="24">
      <c r="A24" s="7" t="n">
        <v>22</v>
      </c>
      <c r="B24" s="8" t="n">
        <v>46081</v>
      </c>
      <c r="C24" s="9" t="inlineStr">
        <is>
          <t>Software/SaaS</t>
        </is>
      </c>
      <c r="D24" s="9" t="inlineStr">
        <is>
          <t>Lovable Website Builder</t>
        </is>
      </c>
      <c r="E24" s="10" t="n">
        <v>13</v>
      </c>
      <c r="F24" s="9" t="inlineStr">
        <is>
          <t>Credit Card</t>
        </is>
      </c>
      <c r="G24" s="9" t="inlineStr">
        <is>
          <t>Monthly</t>
        </is>
      </c>
      <c r="H24" s="9" t="inlineStr">
        <is>
          <t>Yes</t>
        </is>
      </c>
      <c r="I24" s="9" t="inlineStr">
        <is>
          <t>Line 27a - Other Expenses</t>
        </is>
      </c>
      <c r="J24" s="9" t="inlineStr">
        <is>
          <t>No</t>
        </is>
      </c>
      <c r="K24" s="9" t="n"/>
    </row>
    <row r="25">
      <c r="A25" s="3" t="n">
        <v>23</v>
      </c>
      <c r="B25" s="4" t="n">
        <v>46081</v>
      </c>
      <c r="C25" s="5" t="inlineStr">
        <is>
          <t>Equipment</t>
        </is>
      </c>
      <c r="D25" s="5" t="inlineStr">
        <is>
          <t>Monitor (2nd)</t>
        </is>
      </c>
      <c r="E25" s="6" t="n">
        <v>105</v>
      </c>
      <c r="F25" s="5" t="inlineStr">
        <is>
          <t>Credit Card</t>
        </is>
      </c>
      <c r="G25" s="5" t="inlineStr">
        <is>
          <t>One-Time</t>
        </is>
      </c>
      <c r="H25" s="5" t="inlineStr">
        <is>
          <t>Yes</t>
        </is>
      </c>
      <c r="I25" s="5" t="inlineStr">
        <is>
          <t>Line 22 - Supplies</t>
        </is>
      </c>
      <c r="J25" s="5" t="inlineStr">
        <is>
          <t>No</t>
        </is>
      </c>
      <c r="K25" s="5" t="n"/>
    </row>
    <row r="26">
      <c r="A26" s="7" t="n">
        <v>24</v>
      </c>
      <c r="B26" s="8" t="n">
        <v>46082</v>
      </c>
      <c r="C26" s="9" t="inlineStr">
        <is>
          <t>Marketing/Advertising</t>
        </is>
      </c>
      <c r="D26" s="9" t="inlineStr">
        <is>
          <t>Yard Signs Uz Marketing</t>
        </is>
      </c>
      <c r="E26" s="10" t="n">
        <v>398</v>
      </c>
      <c r="F26" s="9" t="inlineStr">
        <is>
          <t>Check</t>
        </is>
      </c>
      <c r="G26" s="9" t="inlineStr">
        <is>
          <t>One-Time</t>
        </is>
      </c>
      <c r="H26" s="9" t="inlineStr">
        <is>
          <t>Yes</t>
        </is>
      </c>
      <c r="I26" s="9" t="inlineStr">
        <is>
          <t>Line 8 - Advertising</t>
        </is>
      </c>
      <c r="J26" s="9" t="inlineStr">
        <is>
          <t>No</t>
        </is>
      </c>
      <c r="K26" s="9" t="n"/>
    </row>
    <row r="27">
      <c r="A27" s="3" t="n">
        <v>25</v>
      </c>
      <c r="B27" s="4" t="n">
        <v>46082</v>
      </c>
      <c r="C27" s="5" t="inlineStr">
        <is>
          <t>Software/SaaS</t>
        </is>
      </c>
      <c r="D27" s="5" t="inlineStr">
        <is>
          <t>Jobber Subscription</t>
        </is>
      </c>
      <c r="E27" s="6" t="n">
        <v>49</v>
      </c>
      <c r="F27" s="5" t="inlineStr">
        <is>
          <t>Credit Card</t>
        </is>
      </c>
      <c r="G27" s="5" t="inlineStr">
        <is>
          <t>Monthly</t>
        </is>
      </c>
      <c r="H27" s="5" t="inlineStr">
        <is>
          <t>Yes</t>
        </is>
      </c>
      <c r="I27" s="5" t="inlineStr">
        <is>
          <t>Line 27a - Other Expenses</t>
        </is>
      </c>
      <c r="J27" s="5" t="inlineStr">
        <is>
          <t>No</t>
        </is>
      </c>
      <c r="K27" s="5" t="n"/>
    </row>
    <row r="28">
      <c r="A28" s="7" t="n">
        <v>26</v>
      </c>
      <c r="B28" s="8" t="n">
        <v>46086</v>
      </c>
      <c r="C28" s="9" t="inlineStr">
        <is>
          <t>Licensing/Permits</t>
        </is>
      </c>
      <c r="D28" s="9" t="inlineStr">
        <is>
          <t>License application fee</t>
        </is>
      </c>
      <c r="E28" s="10" t="n">
        <v>45</v>
      </c>
      <c r="F28" s="9" t="inlineStr">
        <is>
          <t>Check</t>
        </is>
      </c>
      <c r="G28" s="9" t="inlineStr">
        <is>
          <t>One-Time</t>
        </is>
      </c>
      <c r="H28" s="9" t="inlineStr">
        <is>
          <t>Yes</t>
        </is>
      </c>
      <c r="I28" s="9" t="inlineStr">
        <is>
          <t>Line 27a - Other Expenses</t>
        </is>
      </c>
      <c r="J28" s="9" t="inlineStr">
        <is>
          <t>No</t>
        </is>
      </c>
      <c r="K28" s="9" t="n"/>
    </row>
    <row r="29">
      <c r="A29" s="3" t="n">
        <v>27</v>
      </c>
      <c r="B29" s="4" t="n">
        <v>46087</v>
      </c>
      <c r="C29" s="5" t="inlineStr">
        <is>
          <t>Marketing/Advertising</t>
        </is>
      </c>
      <c r="D29" s="5" t="inlineStr">
        <is>
          <t>Reviews ($5/per)</t>
        </is>
      </c>
      <c r="E29" s="6" t="n">
        <v>45</v>
      </c>
      <c r="F29" s="5" t="inlineStr">
        <is>
          <t>Venmo</t>
        </is>
      </c>
      <c r="G29" s="5" t="inlineStr">
        <is>
          <t>One-Time</t>
        </is>
      </c>
      <c r="H29" s="5" t="inlineStr">
        <is>
          <t>Yes</t>
        </is>
      </c>
      <c r="I29" s="5" t="inlineStr">
        <is>
          <t>Line 8 - Advertising</t>
        </is>
      </c>
      <c r="J29" s="5" t="inlineStr">
        <is>
          <t>No</t>
        </is>
      </c>
      <c r="K29" s="5" t="n"/>
    </row>
    <row r="30">
      <c r="A30" s="7" t="n">
        <v>28</v>
      </c>
      <c r="B30" s="8" t="n">
        <v>46088</v>
      </c>
      <c r="C30" s="9" t="inlineStr">
        <is>
          <t>Insurance</t>
        </is>
      </c>
      <c r="D30" s="9" t="inlineStr">
        <is>
          <t>Pekin Liability Insurance</t>
        </is>
      </c>
      <c r="E30" s="10" t="n">
        <v>86</v>
      </c>
      <c r="F30" s="9" t="inlineStr">
        <is>
          <t>ACH/Bank</t>
        </is>
      </c>
      <c r="G30" s="9" t="inlineStr">
        <is>
          <t>Annual</t>
        </is>
      </c>
      <c r="H30" s="9" t="inlineStr">
        <is>
          <t>Yes</t>
        </is>
      </c>
      <c r="I30" s="9" t="inlineStr">
        <is>
          <t>Line 15 - Insurance</t>
        </is>
      </c>
      <c r="J30" s="9" t="inlineStr">
        <is>
          <t>No</t>
        </is>
      </c>
      <c r="K30" s="9" t="n"/>
    </row>
    <row r="31">
      <c r="A31" s="3" t="n">
        <v>29</v>
      </c>
      <c r="B31" s="4" t="n">
        <v>46088</v>
      </c>
      <c r="C31" s="5" t="inlineStr">
        <is>
          <t>Software/SaaS</t>
        </is>
      </c>
      <c r="D31" s="5" t="inlineStr">
        <is>
          <t>Porkbun Domains</t>
        </is>
      </c>
      <c r="E31" s="6" t="n">
        <v>22</v>
      </c>
      <c r="F31" s="5" t="inlineStr">
        <is>
          <t>Credit Card</t>
        </is>
      </c>
      <c r="G31" s="5" t="inlineStr">
        <is>
          <t>Annual</t>
        </is>
      </c>
      <c r="H31" s="5" t="inlineStr">
        <is>
          <t>Yes</t>
        </is>
      </c>
      <c r="I31" s="5" t="inlineStr">
        <is>
          <t>Line 27a - Other Expenses</t>
        </is>
      </c>
      <c r="J31" s="5" t="inlineStr">
        <is>
          <t>No</t>
        </is>
      </c>
      <c r="K31" s="5" t="n"/>
    </row>
    <row r="32">
      <c r="A32" s="7" t="n">
        <v>30</v>
      </c>
      <c r="B32" s="8" t="n">
        <v>46089</v>
      </c>
      <c r="C32" s="9" t="inlineStr">
        <is>
          <t>Marketing/Advertising</t>
        </is>
      </c>
      <c r="D32" s="9" t="inlineStr">
        <is>
          <t>1x Google Review</t>
        </is>
      </c>
      <c r="E32" s="10" t="n">
        <v>5</v>
      </c>
      <c r="F32" s="9" t="inlineStr">
        <is>
          <t>Venmo</t>
        </is>
      </c>
      <c r="G32" s="9" t="inlineStr">
        <is>
          <t>One-Time</t>
        </is>
      </c>
      <c r="H32" s="9" t="inlineStr">
        <is>
          <t>Yes</t>
        </is>
      </c>
      <c r="I32" s="9" t="inlineStr">
        <is>
          <t>Line 8 - Advertising</t>
        </is>
      </c>
      <c r="J32" s="9" t="inlineStr">
        <is>
          <t>No</t>
        </is>
      </c>
      <c r="K32" s="9" t="n"/>
    </row>
    <row r="33">
      <c r="A33" s="3" t="n">
        <v>31</v>
      </c>
      <c r="B33" s="4" t="n">
        <v>46090</v>
      </c>
      <c r="C33" s="5" t="inlineStr">
        <is>
          <t>Phone/Communications</t>
        </is>
      </c>
      <c r="D33" s="5" t="inlineStr">
        <is>
          <t>Twilio</t>
        </is>
      </c>
      <c r="E33" s="6" t="n">
        <v>20</v>
      </c>
      <c r="F33" s="5" t="inlineStr">
        <is>
          <t>Credit Card</t>
        </is>
      </c>
      <c r="G33" s="5" t="inlineStr">
        <is>
          <t>Monthly</t>
        </is>
      </c>
      <c r="H33" s="5" t="inlineStr">
        <is>
          <t>Yes</t>
        </is>
      </c>
      <c r="I33" s="5" t="inlineStr">
        <is>
          <t>Line 25 - Utilities</t>
        </is>
      </c>
      <c r="J33" s="5" t="inlineStr">
        <is>
          <t>No</t>
        </is>
      </c>
      <c r="K33" s="5" t="n"/>
    </row>
    <row r="34">
      <c r="A34" s="7" t="n">
        <v>32</v>
      </c>
      <c r="B34" s="8" t="n">
        <v>46090</v>
      </c>
      <c r="C34" s="9" t="inlineStr">
        <is>
          <t>Phone/Communications</t>
        </is>
      </c>
      <c r="D34" s="9" t="inlineStr">
        <is>
          <t>Quo</t>
        </is>
      </c>
      <c r="E34" s="10" t="n">
        <v>22.01</v>
      </c>
      <c r="F34" s="9" t="inlineStr">
        <is>
          <t>ACH/Bank</t>
        </is>
      </c>
      <c r="G34" s="9" t="inlineStr">
        <is>
          <t>Monthly</t>
        </is>
      </c>
      <c r="H34" s="9" t="inlineStr">
        <is>
          <t>Yes</t>
        </is>
      </c>
      <c r="I34" s="9" t="inlineStr">
        <is>
          <t>Line 25 - Utilities</t>
        </is>
      </c>
      <c r="J34" s="9" t="inlineStr">
        <is>
          <t>No</t>
        </is>
      </c>
      <c r="K34" s="9" t="n"/>
    </row>
    <row r="35">
      <c r="A35" s="3" t="n">
        <v>33</v>
      </c>
      <c r="B35" s="4" t="n"/>
      <c r="C35" s="5" t="n"/>
      <c r="D35" s="5" t="n"/>
      <c r="E35" s="6" t="n"/>
      <c r="F35" s="5" t="n"/>
      <c r="G35" s="5" t="n"/>
      <c r="H35" s="5" t="n"/>
      <c r="I35" s="5" t="n"/>
      <c r="J35" s="5" t="n"/>
      <c r="K35" s="5" t="n"/>
    </row>
    <row r="36">
      <c r="A36" s="7" t="n">
        <v>34</v>
      </c>
      <c r="B36" s="8" t="n"/>
      <c r="C36" s="9" t="n"/>
      <c r="D36" s="9" t="n"/>
      <c r="E36" s="10" t="n"/>
      <c r="F36" s="9" t="n"/>
      <c r="G36" s="9" t="n"/>
      <c r="H36" s="9" t="n"/>
      <c r="I36" s="9" t="n"/>
      <c r="J36" s="9" t="n"/>
      <c r="K36" s="9" t="n"/>
    </row>
    <row r="37">
      <c r="A37" s="3" t="n">
        <v>35</v>
      </c>
      <c r="B37" s="4" t="n"/>
      <c r="C37" s="5" t="n"/>
      <c r="D37" s="5" t="n"/>
      <c r="E37" s="6" t="n"/>
      <c r="F37" s="5" t="n"/>
      <c r="G37" s="5" t="n"/>
      <c r="H37" s="5" t="n"/>
      <c r="I37" s="5" t="n"/>
      <c r="J37" s="5" t="n"/>
      <c r="K37" s="5" t="n"/>
    </row>
    <row r="38">
      <c r="A38" s="7" t="n">
        <v>36</v>
      </c>
      <c r="B38" s="8" t="n"/>
      <c r="C38" s="9" t="n"/>
      <c r="D38" s="9" t="n"/>
      <c r="E38" s="10" t="n"/>
      <c r="F38" s="9" t="n"/>
      <c r="G38" s="9" t="n"/>
      <c r="H38" s="9" t="n"/>
      <c r="I38" s="9" t="n"/>
      <c r="J38" s="9" t="n"/>
      <c r="K38" s="9" t="n"/>
    </row>
    <row r="39">
      <c r="A39" s="3" t="n">
        <v>37</v>
      </c>
      <c r="B39" s="4" t="n"/>
      <c r="C39" s="5" t="n"/>
      <c r="D39" s="5" t="n"/>
      <c r="E39" s="6" t="n"/>
      <c r="F39" s="5" t="n"/>
      <c r="G39" s="5" t="n"/>
      <c r="H39" s="5" t="n"/>
      <c r="I39" s="5" t="n"/>
      <c r="J39" s="5" t="n"/>
      <c r="K39" s="5" t="n"/>
    </row>
    <row r="40">
      <c r="A40" s="7" t="n">
        <v>38</v>
      </c>
      <c r="B40" s="8" t="n"/>
      <c r="C40" s="9" t="n"/>
      <c r="D40" s="9" t="n"/>
      <c r="E40" s="10" t="n"/>
      <c r="F40" s="9" t="n"/>
      <c r="G40" s="9" t="n"/>
      <c r="H40" s="9" t="n"/>
      <c r="I40" s="9" t="n"/>
      <c r="J40" s="9" t="n"/>
      <c r="K40" s="9" t="n"/>
    </row>
    <row r="41">
      <c r="A41" s="3" t="n">
        <v>39</v>
      </c>
      <c r="B41" s="4" t="n"/>
      <c r="C41" s="5" t="n"/>
      <c r="D41" s="5" t="n"/>
      <c r="E41" s="6" t="n"/>
      <c r="F41" s="5" t="n"/>
      <c r="G41" s="5" t="n"/>
      <c r="H41" s="5" t="n"/>
      <c r="I41" s="5" t="n"/>
      <c r="J41" s="5" t="n"/>
      <c r="K41" s="5" t="n"/>
    </row>
    <row r="42">
      <c r="A42" s="7" t="n">
        <v>40</v>
      </c>
      <c r="B42" s="8" t="n"/>
      <c r="C42" s="9" t="n"/>
      <c r="D42" s="9" t="n"/>
      <c r="E42" s="10" t="n"/>
      <c r="F42" s="9" t="n"/>
      <c r="G42" s="9" t="n"/>
      <c r="H42" s="9" t="n"/>
      <c r="I42" s="9" t="n"/>
      <c r="J42" s="9" t="n"/>
      <c r="K42" s="9" t="n"/>
    </row>
    <row r="43">
      <c r="A43" s="3" t="n">
        <v>41</v>
      </c>
      <c r="B43" s="4" t="n"/>
      <c r="C43" s="5" t="n"/>
      <c r="D43" s="5" t="n"/>
      <c r="E43" s="6" t="n"/>
      <c r="F43" s="5" t="n"/>
      <c r="G43" s="5" t="n"/>
      <c r="H43" s="5" t="n"/>
      <c r="I43" s="5" t="n"/>
      <c r="J43" s="5" t="n"/>
      <c r="K43" s="5" t="n"/>
    </row>
    <row r="44">
      <c r="A44" s="7" t="n">
        <v>42</v>
      </c>
      <c r="B44" s="8" t="n"/>
      <c r="C44" s="9" t="n"/>
      <c r="D44" s="9" t="n"/>
      <c r="E44" s="10" t="n"/>
      <c r="F44" s="9" t="n"/>
      <c r="G44" s="9" t="n"/>
      <c r="H44" s="9" t="n"/>
      <c r="I44" s="9" t="n"/>
      <c r="J44" s="9" t="n"/>
      <c r="K44" s="9" t="n"/>
    </row>
    <row r="45">
      <c r="A45" s="3" t="n">
        <v>43</v>
      </c>
      <c r="B45" s="4" t="n"/>
      <c r="C45" s="5" t="n"/>
      <c r="D45" s="5" t="n"/>
      <c r="E45" s="6" t="n"/>
      <c r="F45" s="5" t="n"/>
      <c r="G45" s="5" t="n"/>
      <c r="H45" s="5" t="n"/>
      <c r="I45" s="5" t="n"/>
      <c r="J45" s="5" t="n"/>
      <c r="K45" s="5" t="n"/>
    </row>
    <row r="46">
      <c r="A46" s="7" t="n">
        <v>44</v>
      </c>
      <c r="B46" s="8" t="n"/>
      <c r="C46" s="9" t="n"/>
      <c r="D46" s="9" t="n"/>
      <c r="E46" s="10" t="n"/>
      <c r="F46" s="9" t="n"/>
      <c r="G46" s="9" t="n"/>
      <c r="H46" s="9" t="n"/>
      <c r="I46" s="9" t="n"/>
      <c r="J46" s="9" t="n"/>
      <c r="K46" s="9" t="n"/>
    </row>
    <row r="47">
      <c r="A47" s="3" t="n">
        <v>45</v>
      </c>
      <c r="B47" s="4" t="n"/>
      <c r="C47" s="5" t="n"/>
      <c r="D47" s="5" t="n"/>
      <c r="E47" s="6" t="n"/>
      <c r="F47" s="5" t="n"/>
      <c r="G47" s="5" t="n"/>
      <c r="H47" s="5" t="n"/>
      <c r="I47" s="5" t="n"/>
      <c r="J47" s="5" t="n"/>
      <c r="K47" s="5" t="n"/>
    </row>
    <row r="48">
      <c r="A48" s="7" t="n">
        <v>46</v>
      </c>
      <c r="B48" s="8" t="n"/>
      <c r="C48" s="9" t="n"/>
      <c r="D48" s="9" t="n"/>
      <c r="E48" s="10" t="n"/>
      <c r="F48" s="9" t="n"/>
      <c r="G48" s="9" t="n"/>
      <c r="H48" s="9" t="n"/>
      <c r="I48" s="9" t="n"/>
      <c r="J48" s="9" t="n"/>
      <c r="K48" s="9" t="n"/>
    </row>
    <row r="49">
      <c r="A49" s="3" t="n">
        <v>47</v>
      </c>
      <c r="B49" s="4" t="n"/>
      <c r="C49" s="5" t="n"/>
      <c r="D49" s="5" t="n"/>
      <c r="E49" s="6" t="n"/>
      <c r="F49" s="5" t="n"/>
      <c r="G49" s="5" t="n"/>
      <c r="H49" s="5" t="n"/>
      <c r="I49" s="5" t="n"/>
      <c r="J49" s="5" t="n"/>
      <c r="K49" s="5" t="n"/>
    </row>
    <row r="50">
      <c r="A50" s="7" t="n">
        <v>48</v>
      </c>
      <c r="B50" s="8" t="n"/>
      <c r="C50" s="9" t="n"/>
      <c r="D50" s="9" t="n"/>
      <c r="E50" s="10" t="n"/>
      <c r="F50" s="9" t="n"/>
      <c r="G50" s="9" t="n"/>
      <c r="H50" s="9" t="n"/>
      <c r="I50" s="9" t="n"/>
      <c r="J50" s="9" t="n"/>
      <c r="K50" s="9" t="n"/>
    </row>
    <row r="51">
      <c r="A51" s="3" t="n">
        <v>49</v>
      </c>
      <c r="B51" s="4" t="n"/>
      <c r="C51" s="5" t="n"/>
      <c r="D51" s="5" t="n"/>
      <c r="E51" s="6" t="n"/>
      <c r="F51" s="5" t="n"/>
      <c r="G51" s="5" t="n"/>
      <c r="H51" s="5" t="n"/>
      <c r="I51" s="5" t="n"/>
      <c r="J51" s="5" t="n"/>
      <c r="K51" s="5" t="n"/>
    </row>
    <row r="52">
      <c r="A52" s="7" t="n">
        <v>50</v>
      </c>
      <c r="B52" s="8" t="n"/>
      <c r="C52" s="9" t="n"/>
      <c r="D52" s="9" t="n"/>
      <c r="E52" s="10" t="n"/>
      <c r="F52" s="9" t="n"/>
      <c r="G52" s="9" t="n"/>
      <c r="H52" s="9" t="n"/>
      <c r="I52" s="9" t="n"/>
      <c r="J52" s="9" t="n"/>
      <c r="K52" s="9" t="n"/>
    </row>
    <row r="53">
      <c r="A53" s="3" t="n">
        <v>51</v>
      </c>
      <c r="B53" s="4" t="n"/>
      <c r="C53" s="5" t="n"/>
      <c r="D53" s="5" t="n"/>
      <c r="E53" s="6" t="n"/>
      <c r="F53" s="5" t="n"/>
      <c r="G53" s="5" t="n"/>
      <c r="H53" s="5" t="n"/>
      <c r="I53" s="5" t="n"/>
      <c r="J53" s="5" t="n"/>
      <c r="K53" s="5" t="n"/>
    </row>
    <row r="54">
      <c r="A54" s="7" t="n">
        <v>52</v>
      </c>
      <c r="B54" s="8" t="n"/>
      <c r="C54" s="9" t="n"/>
      <c r="D54" s="9" t="n"/>
      <c r="E54" s="10" t="n"/>
      <c r="F54" s="9" t="n"/>
      <c r="G54" s="9" t="n"/>
      <c r="H54" s="9" t="n"/>
      <c r="I54" s="9" t="n"/>
      <c r="J54" s="9" t="n"/>
      <c r="K54" s="9" t="n"/>
    </row>
    <row r="55">
      <c r="A55" s="3" t="n">
        <v>53</v>
      </c>
      <c r="B55" s="4" t="n"/>
      <c r="C55" s="5" t="n"/>
      <c r="D55" s="5" t="n"/>
      <c r="E55" s="6" t="n"/>
      <c r="F55" s="5" t="n"/>
      <c r="G55" s="5" t="n"/>
      <c r="H55" s="5" t="n"/>
      <c r="I55" s="5" t="n"/>
      <c r="J55" s="5" t="n"/>
      <c r="K55" s="5" t="n"/>
    </row>
    <row r="56">
      <c r="A56" s="7" t="n">
        <v>54</v>
      </c>
      <c r="B56" s="8" t="n"/>
      <c r="C56" s="9" t="n"/>
      <c r="D56" s="9" t="n"/>
      <c r="E56" s="10" t="n"/>
      <c r="F56" s="9" t="n"/>
      <c r="G56" s="9" t="n"/>
      <c r="H56" s="9" t="n"/>
      <c r="I56" s="9" t="n"/>
      <c r="J56" s="9" t="n"/>
      <c r="K56" s="9" t="n"/>
    </row>
    <row r="57">
      <c r="A57" s="3" t="n">
        <v>55</v>
      </c>
      <c r="B57" s="4" t="n"/>
      <c r="C57" s="5" t="n"/>
      <c r="D57" s="5" t="n"/>
      <c r="E57" s="6" t="n"/>
      <c r="F57" s="5" t="n"/>
      <c r="G57" s="5" t="n"/>
      <c r="H57" s="5" t="n"/>
      <c r="I57" s="5" t="n"/>
      <c r="J57" s="5" t="n"/>
      <c r="K57" s="5" t="n"/>
    </row>
    <row r="58">
      <c r="A58" s="7" t="n">
        <v>56</v>
      </c>
      <c r="B58" s="8" t="n"/>
      <c r="C58" s="9" t="n"/>
      <c r="D58" s="9" t="n"/>
      <c r="E58" s="10" t="n"/>
      <c r="F58" s="9" t="n"/>
      <c r="G58" s="9" t="n"/>
      <c r="H58" s="9" t="n"/>
      <c r="I58" s="9" t="n"/>
      <c r="J58" s="9" t="n"/>
      <c r="K58" s="9" t="n"/>
    </row>
    <row r="59">
      <c r="A59" s="3" t="n">
        <v>57</v>
      </c>
      <c r="B59" s="4" t="n"/>
      <c r="C59" s="5" t="n"/>
      <c r="D59" s="5" t="n"/>
      <c r="E59" s="6" t="n"/>
      <c r="F59" s="5" t="n"/>
      <c r="G59" s="5" t="n"/>
      <c r="H59" s="5" t="n"/>
      <c r="I59" s="5" t="n"/>
      <c r="J59" s="5" t="n"/>
      <c r="K59" s="5" t="n"/>
    </row>
    <row r="60">
      <c r="A60" s="7" t="n">
        <v>58</v>
      </c>
      <c r="B60" s="8" t="n"/>
      <c r="C60" s="9" t="n"/>
      <c r="D60" s="9" t="n"/>
      <c r="E60" s="10" t="n"/>
      <c r="F60" s="9" t="n"/>
      <c r="G60" s="9" t="n"/>
      <c r="H60" s="9" t="n"/>
      <c r="I60" s="9" t="n"/>
      <c r="J60" s="9" t="n"/>
      <c r="K60" s="9" t="n"/>
    </row>
    <row r="61">
      <c r="A61" s="3" t="n">
        <v>59</v>
      </c>
      <c r="B61" s="4" t="n"/>
      <c r="C61" s="5" t="n"/>
      <c r="D61" s="5" t="n"/>
      <c r="E61" s="6" t="n"/>
      <c r="F61" s="5" t="n"/>
      <c r="G61" s="5" t="n"/>
      <c r="H61" s="5" t="n"/>
      <c r="I61" s="5" t="n"/>
      <c r="J61" s="5" t="n"/>
      <c r="K61" s="5" t="n"/>
    </row>
    <row r="62">
      <c r="A62" s="7" t="n">
        <v>60</v>
      </c>
      <c r="B62" s="8" t="n"/>
      <c r="C62" s="9" t="n"/>
      <c r="D62" s="9" t="n"/>
      <c r="E62" s="10" t="n"/>
      <c r="F62" s="9" t="n"/>
      <c r="G62" s="9" t="n"/>
      <c r="H62" s="9" t="n"/>
      <c r="I62" s="9" t="n"/>
      <c r="J62" s="9" t="n"/>
      <c r="K62" s="9" t="n"/>
    </row>
    <row r="63">
      <c r="A63" s="3" t="n">
        <v>61</v>
      </c>
      <c r="B63" s="4" t="n"/>
      <c r="C63" s="5" t="n"/>
      <c r="D63" s="5" t="n"/>
      <c r="E63" s="6" t="n"/>
      <c r="F63" s="5" t="n"/>
      <c r="G63" s="5" t="n"/>
      <c r="H63" s="5" t="n"/>
      <c r="I63" s="5" t="n"/>
      <c r="J63" s="5" t="n"/>
      <c r="K63" s="5" t="n"/>
    </row>
    <row r="64">
      <c r="A64" s="7" t="n">
        <v>62</v>
      </c>
      <c r="B64" s="8" t="n"/>
      <c r="C64" s="9" t="n"/>
      <c r="D64" s="9" t="n"/>
      <c r="E64" s="10" t="n"/>
      <c r="F64" s="9" t="n"/>
      <c r="G64" s="9" t="n"/>
      <c r="H64" s="9" t="n"/>
      <c r="I64" s="9" t="n"/>
      <c r="J64" s="9" t="n"/>
      <c r="K64" s="9" t="n"/>
    </row>
    <row r="65">
      <c r="A65" s="3" t="n">
        <v>63</v>
      </c>
      <c r="B65" s="4" t="n"/>
      <c r="C65" s="5" t="n"/>
      <c r="D65" s="5" t="n"/>
      <c r="E65" s="6" t="n"/>
      <c r="F65" s="5" t="n"/>
      <c r="G65" s="5" t="n"/>
      <c r="H65" s="5" t="n"/>
      <c r="I65" s="5" t="n"/>
      <c r="J65" s="5" t="n"/>
      <c r="K65" s="5" t="n"/>
    </row>
    <row r="66">
      <c r="A66" s="7" t="n">
        <v>64</v>
      </c>
      <c r="B66" s="8" t="n"/>
      <c r="C66" s="9" t="n"/>
      <c r="D66" s="9" t="n"/>
      <c r="E66" s="10" t="n"/>
      <c r="F66" s="9" t="n"/>
      <c r="G66" s="9" t="n"/>
      <c r="H66" s="9" t="n"/>
      <c r="I66" s="9" t="n"/>
      <c r="J66" s="9" t="n"/>
      <c r="K66" s="9" t="n"/>
    </row>
    <row r="67">
      <c r="A67" s="3" t="n">
        <v>65</v>
      </c>
      <c r="B67" s="4" t="n"/>
      <c r="C67" s="5" t="n"/>
      <c r="D67" s="5" t="n"/>
      <c r="E67" s="6" t="n"/>
      <c r="F67" s="5" t="n"/>
      <c r="G67" s="5" t="n"/>
      <c r="H67" s="5" t="n"/>
      <c r="I67" s="5" t="n"/>
      <c r="J67" s="5" t="n"/>
      <c r="K67" s="5" t="n"/>
    </row>
    <row r="68">
      <c r="A68" s="7" t="n">
        <v>66</v>
      </c>
      <c r="B68" s="8" t="n"/>
      <c r="C68" s="9" t="n"/>
      <c r="D68" s="9" t="n"/>
      <c r="E68" s="10" t="n"/>
      <c r="F68" s="9" t="n"/>
      <c r="G68" s="9" t="n"/>
      <c r="H68" s="9" t="n"/>
      <c r="I68" s="9" t="n"/>
      <c r="J68" s="9" t="n"/>
      <c r="K68" s="9" t="n"/>
    </row>
    <row r="69">
      <c r="A69" s="3" t="n">
        <v>67</v>
      </c>
      <c r="B69" s="4" t="n"/>
      <c r="C69" s="5" t="n"/>
      <c r="D69" s="5" t="n"/>
      <c r="E69" s="6" t="n"/>
      <c r="F69" s="5" t="n"/>
      <c r="G69" s="5" t="n"/>
      <c r="H69" s="5" t="n"/>
      <c r="I69" s="5" t="n"/>
      <c r="J69" s="5" t="n"/>
      <c r="K69" s="5" t="n"/>
    </row>
    <row r="70">
      <c r="A70" s="7" t="n">
        <v>68</v>
      </c>
      <c r="B70" s="8" t="n"/>
      <c r="C70" s="9" t="n"/>
      <c r="D70" s="9" t="n"/>
      <c r="E70" s="10" t="n"/>
      <c r="F70" s="9" t="n"/>
      <c r="G70" s="9" t="n"/>
      <c r="H70" s="9" t="n"/>
      <c r="I70" s="9" t="n"/>
      <c r="J70" s="9" t="n"/>
      <c r="K70" s="9" t="n"/>
    </row>
    <row r="71">
      <c r="A71" s="3" t="n">
        <v>69</v>
      </c>
      <c r="B71" s="4" t="n"/>
      <c r="C71" s="5" t="n"/>
      <c r="D71" s="5" t="n"/>
      <c r="E71" s="6" t="n"/>
      <c r="F71" s="5" t="n"/>
      <c r="G71" s="5" t="n"/>
      <c r="H71" s="5" t="n"/>
      <c r="I71" s="5" t="n"/>
      <c r="J71" s="5" t="n"/>
      <c r="K71" s="5" t="n"/>
    </row>
    <row r="72">
      <c r="A72" s="7" t="n">
        <v>70</v>
      </c>
      <c r="B72" s="8" t="n"/>
      <c r="C72" s="9" t="n"/>
      <c r="D72" s="9" t="n"/>
      <c r="E72" s="10" t="n"/>
      <c r="F72" s="9" t="n"/>
      <c r="G72" s="9" t="n"/>
      <c r="H72" s="9" t="n"/>
      <c r="I72" s="9" t="n"/>
      <c r="J72" s="9" t="n"/>
      <c r="K72" s="9" t="n"/>
    </row>
    <row r="73">
      <c r="A73" s="3" t="n">
        <v>71</v>
      </c>
      <c r="B73" s="4" t="n"/>
      <c r="C73" s="5" t="n"/>
      <c r="D73" s="5" t="n"/>
      <c r="E73" s="6" t="n"/>
      <c r="F73" s="5" t="n"/>
      <c r="G73" s="5" t="n"/>
      <c r="H73" s="5" t="n"/>
      <c r="I73" s="5" t="n"/>
      <c r="J73" s="5" t="n"/>
      <c r="K73" s="5" t="n"/>
    </row>
    <row r="74">
      <c r="A74" s="7" t="n">
        <v>72</v>
      </c>
      <c r="B74" s="8" t="n"/>
      <c r="C74" s="9" t="n"/>
      <c r="D74" s="9" t="n"/>
      <c r="E74" s="10" t="n"/>
      <c r="F74" s="9" t="n"/>
      <c r="G74" s="9" t="n"/>
      <c r="H74" s="9" t="n"/>
      <c r="I74" s="9" t="n"/>
      <c r="J74" s="9" t="n"/>
      <c r="K74" s="9" t="n"/>
    </row>
    <row r="75">
      <c r="A75" s="3" t="n">
        <v>73</v>
      </c>
      <c r="B75" s="4" t="n"/>
      <c r="C75" s="5" t="n"/>
      <c r="D75" s="5" t="n"/>
      <c r="E75" s="6" t="n"/>
      <c r="F75" s="5" t="n"/>
      <c r="G75" s="5" t="n"/>
      <c r="H75" s="5" t="n"/>
      <c r="I75" s="5" t="n"/>
      <c r="J75" s="5" t="n"/>
      <c r="K75" s="5" t="n"/>
    </row>
    <row r="76">
      <c r="A76" s="7" t="n">
        <v>74</v>
      </c>
      <c r="B76" s="8" t="n"/>
      <c r="C76" s="9" t="n"/>
      <c r="D76" s="9" t="n"/>
      <c r="E76" s="10" t="n"/>
      <c r="F76" s="9" t="n"/>
      <c r="G76" s="9" t="n"/>
      <c r="H76" s="9" t="n"/>
      <c r="I76" s="9" t="n"/>
      <c r="J76" s="9" t="n"/>
      <c r="K76" s="9" t="n"/>
    </row>
    <row r="77">
      <c r="A77" s="3" t="n">
        <v>75</v>
      </c>
      <c r="B77" s="4" t="n"/>
      <c r="C77" s="5" t="n"/>
      <c r="D77" s="5" t="n"/>
      <c r="E77" s="6" t="n"/>
      <c r="F77" s="5" t="n"/>
      <c r="G77" s="5" t="n"/>
      <c r="H77" s="5" t="n"/>
      <c r="I77" s="5" t="n"/>
      <c r="J77" s="5" t="n"/>
      <c r="K77" s="5" t="n"/>
    </row>
    <row r="78">
      <c r="A78" s="7" t="n">
        <v>76</v>
      </c>
      <c r="B78" s="8" t="n"/>
      <c r="C78" s="9" t="n"/>
      <c r="D78" s="9" t="n"/>
      <c r="E78" s="10" t="n"/>
      <c r="F78" s="9" t="n"/>
      <c r="G78" s="9" t="n"/>
      <c r="H78" s="9" t="n"/>
      <c r="I78" s="9" t="n"/>
      <c r="J78" s="9" t="n"/>
      <c r="K78" s="9" t="n"/>
    </row>
    <row r="79">
      <c r="A79" s="3" t="n">
        <v>77</v>
      </c>
      <c r="B79" s="4" t="n"/>
      <c r="C79" s="5" t="n"/>
      <c r="D79" s="5" t="n"/>
      <c r="E79" s="6" t="n"/>
      <c r="F79" s="5" t="n"/>
      <c r="G79" s="5" t="n"/>
      <c r="H79" s="5" t="n"/>
      <c r="I79" s="5" t="n"/>
      <c r="J79" s="5" t="n"/>
      <c r="K79" s="5" t="n"/>
    </row>
    <row r="80">
      <c r="A80" s="7" t="n">
        <v>78</v>
      </c>
      <c r="B80" s="8" t="n"/>
      <c r="C80" s="9" t="n"/>
      <c r="D80" s="9" t="n"/>
      <c r="E80" s="10" t="n"/>
      <c r="F80" s="9" t="n"/>
      <c r="G80" s="9" t="n"/>
      <c r="H80" s="9" t="n"/>
      <c r="I80" s="9" t="n"/>
      <c r="J80" s="9" t="n"/>
      <c r="K80" s="9" t="n"/>
    </row>
    <row r="81">
      <c r="A81" s="3" t="n">
        <v>79</v>
      </c>
      <c r="B81" s="4" t="n"/>
      <c r="C81" s="5" t="n"/>
      <c r="D81" s="5" t="n"/>
      <c r="E81" s="6" t="n"/>
      <c r="F81" s="5" t="n"/>
      <c r="G81" s="5" t="n"/>
      <c r="H81" s="5" t="n"/>
      <c r="I81" s="5" t="n"/>
      <c r="J81" s="5" t="n"/>
      <c r="K81" s="5" t="n"/>
    </row>
    <row r="82">
      <c r="A82" s="7" t="n">
        <v>80</v>
      </c>
      <c r="B82" s="8" t="n"/>
      <c r="C82" s="9" t="n"/>
      <c r="D82" s="9" t="n"/>
      <c r="E82" s="10" t="n"/>
      <c r="F82" s="9" t="n"/>
      <c r="G82" s="9" t="n"/>
      <c r="H82" s="9" t="n"/>
      <c r="I82" s="9" t="n"/>
      <c r="J82" s="9" t="n"/>
      <c r="K82" s="9" t="n"/>
    </row>
    <row r="83">
      <c r="A83" s="3" t="n">
        <v>81</v>
      </c>
      <c r="B83" s="4" t="n"/>
      <c r="C83" s="5" t="n"/>
      <c r="D83" s="5" t="n"/>
      <c r="E83" s="6" t="n"/>
      <c r="F83" s="5" t="n"/>
      <c r="G83" s="5" t="n"/>
      <c r="H83" s="5" t="n"/>
      <c r="I83" s="5" t="n"/>
      <c r="J83" s="5" t="n"/>
      <c r="K83" s="5" t="n"/>
    </row>
    <row r="84">
      <c r="A84" s="7" t="n">
        <v>82</v>
      </c>
      <c r="B84" s="8" t="n"/>
      <c r="C84" s="9" t="n"/>
      <c r="D84" s="9" t="n"/>
      <c r="E84" s="10" t="n"/>
      <c r="F84" s="9" t="n"/>
      <c r="G84" s="9" t="n"/>
      <c r="H84" s="9" t="n"/>
      <c r="I84" s="9" t="n"/>
      <c r="J84" s="9" t="n"/>
      <c r="K84" s="9" t="n"/>
    </row>
    <row r="85">
      <c r="A85" s="3" t="n">
        <v>83</v>
      </c>
      <c r="B85" s="4" t="n"/>
      <c r="C85" s="5" t="n"/>
      <c r="D85" s="5" t="n"/>
      <c r="E85" s="6" t="n"/>
      <c r="F85" s="5" t="n"/>
      <c r="G85" s="5" t="n"/>
      <c r="H85" s="5" t="n"/>
      <c r="I85" s="5" t="n"/>
      <c r="J85" s="5" t="n"/>
      <c r="K85" s="5" t="n"/>
    </row>
    <row r="86">
      <c r="A86" s="7" t="n">
        <v>84</v>
      </c>
      <c r="B86" s="8" t="n"/>
      <c r="C86" s="9" t="n"/>
      <c r="D86" s="9" t="n"/>
      <c r="E86" s="10" t="n"/>
      <c r="F86" s="9" t="n"/>
      <c r="G86" s="9" t="n"/>
      <c r="H86" s="9" t="n"/>
      <c r="I86" s="9" t="n"/>
      <c r="J86" s="9" t="n"/>
      <c r="K86" s="9" t="n"/>
    </row>
    <row r="87">
      <c r="A87" s="3" t="n">
        <v>85</v>
      </c>
      <c r="B87" s="4" t="n"/>
      <c r="C87" s="5" t="n"/>
      <c r="D87" s="5" t="n"/>
      <c r="E87" s="6" t="n"/>
      <c r="F87" s="5" t="n"/>
      <c r="G87" s="5" t="n"/>
      <c r="H87" s="5" t="n"/>
      <c r="I87" s="5" t="n"/>
      <c r="J87" s="5" t="n"/>
      <c r="K87" s="5" t="n"/>
    </row>
    <row r="88">
      <c r="A88" s="7" t="n">
        <v>86</v>
      </c>
      <c r="B88" s="8" t="n"/>
      <c r="C88" s="9" t="n"/>
      <c r="D88" s="9" t="n"/>
      <c r="E88" s="10" t="n"/>
      <c r="F88" s="9" t="n"/>
      <c r="G88" s="9" t="n"/>
      <c r="H88" s="9" t="n"/>
      <c r="I88" s="9" t="n"/>
      <c r="J88" s="9" t="n"/>
      <c r="K88" s="9" t="n"/>
    </row>
    <row r="89">
      <c r="A89" s="3" t="n">
        <v>87</v>
      </c>
      <c r="B89" s="4" t="n"/>
      <c r="C89" s="5" t="n"/>
      <c r="D89" s="5" t="n"/>
      <c r="E89" s="6" t="n"/>
      <c r="F89" s="5" t="n"/>
      <c r="G89" s="5" t="n"/>
      <c r="H89" s="5" t="n"/>
      <c r="I89" s="5" t="n"/>
      <c r="J89" s="5" t="n"/>
      <c r="K89" s="5" t="n"/>
    </row>
    <row r="90">
      <c r="A90" s="7" t="n">
        <v>88</v>
      </c>
      <c r="B90" s="8" t="n"/>
      <c r="C90" s="9" t="n"/>
      <c r="D90" s="9" t="n"/>
      <c r="E90" s="10" t="n"/>
      <c r="F90" s="9" t="n"/>
      <c r="G90" s="9" t="n"/>
      <c r="H90" s="9" t="n"/>
      <c r="I90" s="9" t="n"/>
      <c r="J90" s="9" t="n"/>
      <c r="K90" s="9" t="n"/>
    </row>
    <row r="91">
      <c r="A91" s="3" t="n">
        <v>89</v>
      </c>
      <c r="B91" s="4" t="n"/>
      <c r="C91" s="5" t="n"/>
      <c r="D91" s="5" t="n"/>
      <c r="E91" s="6" t="n"/>
      <c r="F91" s="5" t="n"/>
      <c r="G91" s="5" t="n"/>
      <c r="H91" s="5" t="n"/>
      <c r="I91" s="5" t="n"/>
      <c r="J91" s="5" t="n"/>
      <c r="K91" s="5" t="n"/>
    </row>
    <row r="92">
      <c r="A92" s="7" t="n">
        <v>90</v>
      </c>
      <c r="B92" s="8" t="n"/>
      <c r="C92" s="9" t="n"/>
      <c r="D92" s="9" t="n"/>
      <c r="E92" s="10" t="n"/>
      <c r="F92" s="9" t="n"/>
      <c r="G92" s="9" t="n"/>
      <c r="H92" s="9" t="n"/>
      <c r="I92" s="9" t="n"/>
      <c r="J92" s="9" t="n"/>
      <c r="K92" s="9" t="n"/>
    </row>
    <row r="93">
      <c r="A93" s="3" t="n">
        <v>91</v>
      </c>
      <c r="B93" s="4" t="n"/>
      <c r="C93" s="5" t="n"/>
      <c r="D93" s="5" t="n"/>
      <c r="E93" s="6" t="n"/>
      <c r="F93" s="5" t="n"/>
      <c r="G93" s="5" t="n"/>
      <c r="H93" s="5" t="n"/>
      <c r="I93" s="5" t="n"/>
      <c r="J93" s="5" t="n"/>
      <c r="K93" s="5" t="n"/>
    </row>
    <row r="94">
      <c r="A94" s="7" t="n">
        <v>92</v>
      </c>
      <c r="B94" s="8" t="n"/>
      <c r="C94" s="9" t="n"/>
      <c r="D94" s="9" t="n"/>
      <c r="E94" s="10" t="n"/>
      <c r="F94" s="9" t="n"/>
      <c r="G94" s="9" t="n"/>
      <c r="H94" s="9" t="n"/>
      <c r="I94" s="9" t="n"/>
      <c r="J94" s="9" t="n"/>
      <c r="K94" s="9" t="n"/>
    </row>
    <row r="95">
      <c r="A95" s="3" t="n">
        <v>93</v>
      </c>
      <c r="B95" s="4" t="n"/>
      <c r="C95" s="5" t="n"/>
      <c r="D95" s="5" t="n"/>
      <c r="E95" s="6" t="n"/>
      <c r="F95" s="5" t="n"/>
      <c r="G95" s="5" t="n"/>
      <c r="H95" s="5" t="n"/>
      <c r="I95" s="5" t="n"/>
      <c r="J95" s="5" t="n"/>
      <c r="K95" s="5" t="n"/>
    </row>
    <row r="96">
      <c r="A96" s="7" t="n">
        <v>94</v>
      </c>
      <c r="B96" s="8" t="n"/>
      <c r="C96" s="9" t="n"/>
      <c r="D96" s="9" t="n"/>
      <c r="E96" s="10" t="n"/>
      <c r="F96" s="9" t="n"/>
      <c r="G96" s="9" t="n"/>
      <c r="H96" s="9" t="n"/>
      <c r="I96" s="9" t="n"/>
      <c r="J96" s="9" t="n"/>
      <c r="K96" s="9" t="n"/>
    </row>
    <row r="97">
      <c r="A97" s="3" t="n">
        <v>95</v>
      </c>
      <c r="B97" s="4" t="n"/>
      <c r="C97" s="5" t="n"/>
      <c r="D97" s="5" t="n"/>
      <c r="E97" s="6" t="n"/>
      <c r="F97" s="5" t="n"/>
      <c r="G97" s="5" t="n"/>
      <c r="H97" s="5" t="n"/>
      <c r="I97" s="5" t="n"/>
      <c r="J97" s="5" t="n"/>
      <c r="K97" s="5" t="n"/>
    </row>
    <row r="98">
      <c r="A98" s="7" t="n">
        <v>96</v>
      </c>
      <c r="B98" s="8" t="n"/>
      <c r="C98" s="9" t="n"/>
      <c r="D98" s="9" t="n"/>
      <c r="E98" s="10" t="n"/>
      <c r="F98" s="9" t="n"/>
      <c r="G98" s="9" t="n"/>
      <c r="H98" s="9" t="n"/>
      <c r="I98" s="9" t="n"/>
      <c r="J98" s="9" t="n"/>
      <c r="K98" s="9" t="n"/>
    </row>
    <row r="99">
      <c r="A99" s="3" t="n">
        <v>97</v>
      </c>
      <c r="B99" s="4" t="n"/>
      <c r="C99" s="5" t="n"/>
      <c r="D99" s="5" t="n"/>
      <c r="E99" s="6" t="n"/>
      <c r="F99" s="5" t="n"/>
      <c r="G99" s="5" t="n"/>
      <c r="H99" s="5" t="n"/>
      <c r="I99" s="5" t="n"/>
      <c r="J99" s="5" t="n"/>
      <c r="K99" s="5" t="n"/>
    </row>
    <row r="100">
      <c r="A100" s="7" t="n">
        <v>98</v>
      </c>
      <c r="B100" s="8" t="n"/>
      <c r="C100" s="9" t="n"/>
      <c r="D100" s="9" t="n"/>
      <c r="E100" s="10" t="n"/>
      <c r="F100" s="9" t="n"/>
      <c r="G100" s="9" t="n"/>
      <c r="H100" s="9" t="n"/>
      <c r="I100" s="9" t="n"/>
      <c r="J100" s="9" t="n"/>
      <c r="K100" s="9" t="n"/>
    </row>
    <row r="101">
      <c r="A101" s="3" t="n">
        <v>99</v>
      </c>
      <c r="B101" s="4" t="n"/>
      <c r="C101" s="5" t="n"/>
      <c r="D101" s="5" t="n"/>
      <c r="E101" s="6" t="n"/>
      <c r="F101" s="5" t="n"/>
      <c r="G101" s="5" t="n"/>
      <c r="H101" s="5" t="n"/>
      <c r="I101" s="5" t="n"/>
      <c r="J101" s="5" t="n"/>
      <c r="K101" s="5" t="n"/>
    </row>
    <row r="102">
      <c r="A102" s="7" t="n">
        <v>100</v>
      </c>
      <c r="B102" s="8" t="n"/>
      <c r="C102" s="9" t="n"/>
      <c r="D102" s="9" t="n"/>
      <c r="E102" s="10" t="n"/>
      <c r="F102" s="9" t="n"/>
      <c r="G102" s="9" t="n"/>
      <c r="H102" s="9" t="n"/>
      <c r="I102" s="9" t="n"/>
      <c r="J102" s="9" t="n"/>
      <c r="K102" s="9" t="n"/>
    </row>
    <row r="103">
      <c r="A103" s="3" t="n">
        <v>101</v>
      </c>
      <c r="B103" s="4" t="n"/>
      <c r="C103" s="5" t="n"/>
      <c r="D103" s="5" t="n"/>
      <c r="E103" s="6" t="n"/>
      <c r="F103" s="5" t="n"/>
      <c r="G103" s="5" t="n"/>
      <c r="H103" s="5" t="n"/>
      <c r="I103" s="5" t="n"/>
      <c r="J103" s="5" t="n"/>
      <c r="K103" s="5" t="n"/>
    </row>
    <row r="104">
      <c r="A104" s="7" t="n">
        <v>102</v>
      </c>
      <c r="B104" s="8" t="n"/>
      <c r="C104" s="9" t="n"/>
      <c r="D104" s="9" t="n"/>
      <c r="E104" s="10" t="n"/>
      <c r="F104" s="9" t="n"/>
      <c r="G104" s="9" t="n"/>
      <c r="H104" s="9" t="n"/>
      <c r="I104" s="9" t="n"/>
      <c r="J104" s="9" t="n"/>
      <c r="K104" s="9" t="n"/>
    </row>
    <row r="105">
      <c r="A105" s="3" t="n">
        <v>103</v>
      </c>
      <c r="B105" s="4" t="n"/>
      <c r="C105" s="5" t="n"/>
      <c r="D105" s="5" t="n"/>
      <c r="E105" s="6" t="n"/>
      <c r="F105" s="5" t="n"/>
      <c r="G105" s="5" t="n"/>
      <c r="H105" s="5" t="n"/>
      <c r="I105" s="5" t="n"/>
      <c r="J105" s="5" t="n"/>
      <c r="K105" s="5" t="n"/>
    </row>
    <row r="106">
      <c r="A106" s="7" t="n">
        <v>104</v>
      </c>
      <c r="B106" s="8" t="n"/>
      <c r="C106" s="9" t="n"/>
      <c r="D106" s="9" t="n"/>
      <c r="E106" s="10" t="n"/>
      <c r="F106" s="9" t="n"/>
      <c r="G106" s="9" t="n"/>
      <c r="H106" s="9" t="n"/>
      <c r="I106" s="9" t="n"/>
      <c r="J106" s="9" t="n"/>
      <c r="K106" s="9" t="n"/>
    </row>
    <row r="107">
      <c r="A107" s="3" t="n">
        <v>105</v>
      </c>
      <c r="B107" s="4" t="n"/>
      <c r="C107" s="5" t="n"/>
      <c r="D107" s="5" t="n"/>
      <c r="E107" s="6" t="n"/>
      <c r="F107" s="5" t="n"/>
      <c r="G107" s="5" t="n"/>
      <c r="H107" s="5" t="n"/>
      <c r="I107" s="5" t="n"/>
      <c r="J107" s="5" t="n"/>
      <c r="K107" s="5" t="n"/>
    </row>
    <row r="108">
      <c r="A108" s="7" t="n">
        <v>106</v>
      </c>
      <c r="B108" s="8" t="n"/>
      <c r="C108" s="9" t="n"/>
      <c r="D108" s="9" t="n"/>
      <c r="E108" s="10" t="n"/>
      <c r="F108" s="9" t="n"/>
      <c r="G108" s="9" t="n"/>
      <c r="H108" s="9" t="n"/>
      <c r="I108" s="9" t="n"/>
      <c r="J108" s="9" t="n"/>
      <c r="K108" s="9" t="n"/>
    </row>
    <row r="109">
      <c r="A109" s="3" t="n">
        <v>107</v>
      </c>
      <c r="B109" s="4" t="n"/>
      <c r="C109" s="5" t="n"/>
      <c r="D109" s="5" t="n"/>
      <c r="E109" s="6" t="n"/>
      <c r="F109" s="5" t="n"/>
      <c r="G109" s="5" t="n"/>
      <c r="H109" s="5" t="n"/>
      <c r="I109" s="5" t="n"/>
      <c r="J109" s="5" t="n"/>
      <c r="K109" s="5" t="n"/>
    </row>
    <row r="110">
      <c r="A110" s="7" t="n">
        <v>108</v>
      </c>
      <c r="B110" s="8" t="n"/>
      <c r="C110" s="9" t="n"/>
      <c r="D110" s="9" t="n"/>
      <c r="E110" s="10" t="n"/>
      <c r="F110" s="9" t="n"/>
      <c r="G110" s="9" t="n"/>
      <c r="H110" s="9" t="n"/>
      <c r="I110" s="9" t="n"/>
      <c r="J110" s="9" t="n"/>
      <c r="K110" s="9" t="n"/>
    </row>
    <row r="111">
      <c r="A111" s="3" t="n">
        <v>109</v>
      </c>
      <c r="B111" s="4" t="n"/>
      <c r="C111" s="5" t="n"/>
      <c r="D111" s="5" t="n"/>
      <c r="E111" s="6" t="n"/>
      <c r="F111" s="5" t="n"/>
      <c r="G111" s="5" t="n"/>
      <c r="H111" s="5" t="n"/>
      <c r="I111" s="5" t="n"/>
      <c r="J111" s="5" t="n"/>
      <c r="K111" s="5" t="n"/>
    </row>
    <row r="112">
      <c r="A112" s="7" t="n">
        <v>110</v>
      </c>
      <c r="B112" s="8" t="n"/>
      <c r="C112" s="9" t="n"/>
      <c r="D112" s="9" t="n"/>
      <c r="E112" s="10" t="n"/>
      <c r="F112" s="9" t="n"/>
      <c r="G112" s="9" t="n"/>
      <c r="H112" s="9" t="n"/>
      <c r="I112" s="9" t="n"/>
      <c r="J112" s="9" t="n"/>
      <c r="K112" s="9" t="n"/>
    </row>
    <row r="113">
      <c r="A113" s="3" t="n">
        <v>111</v>
      </c>
      <c r="B113" s="4" t="n"/>
      <c r="C113" s="5" t="n"/>
      <c r="D113" s="5" t="n"/>
      <c r="E113" s="6" t="n"/>
      <c r="F113" s="5" t="n"/>
      <c r="G113" s="5" t="n"/>
      <c r="H113" s="5" t="n"/>
      <c r="I113" s="5" t="n"/>
      <c r="J113" s="5" t="n"/>
      <c r="K113" s="5" t="n"/>
    </row>
    <row r="114">
      <c r="A114" s="7" t="n">
        <v>112</v>
      </c>
      <c r="B114" s="8" t="n"/>
      <c r="C114" s="9" t="n"/>
      <c r="D114" s="9" t="n"/>
      <c r="E114" s="10" t="n"/>
      <c r="F114" s="9" t="n"/>
      <c r="G114" s="9" t="n"/>
      <c r="H114" s="9" t="n"/>
      <c r="I114" s="9" t="n"/>
      <c r="J114" s="9" t="n"/>
      <c r="K114" s="9" t="n"/>
    </row>
    <row r="115">
      <c r="A115" s="3" t="n">
        <v>113</v>
      </c>
      <c r="B115" s="4" t="n"/>
      <c r="C115" s="5" t="n"/>
      <c r="D115" s="5" t="n"/>
      <c r="E115" s="6" t="n"/>
      <c r="F115" s="5" t="n"/>
      <c r="G115" s="5" t="n"/>
      <c r="H115" s="5" t="n"/>
      <c r="I115" s="5" t="n"/>
      <c r="J115" s="5" t="n"/>
      <c r="K115" s="5" t="n"/>
    </row>
    <row r="116">
      <c r="A116" s="7" t="n">
        <v>114</v>
      </c>
      <c r="B116" s="8" t="n"/>
      <c r="C116" s="9" t="n"/>
      <c r="D116" s="9" t="n"/>
      <c r="E116" s="10" t="n"/>
      <c r="F116" s="9" t="n"/>
      <c r="G116" s="9" t="n"/>
      <c r="H116" s="9" t="n"/>
      <c r="I116" s="9" t="n"/>
      <c r="J116" s="9" t="n"/>
      <c r="K116" s="9" t="n"/>
    </row>
    <row r="117">
      <c r="A117" s="3" t="n">
        <v>115</v>
      </c>
      <c r="B117" s="4" t="n"/>
      <c r="C117" s="5" t="n"/>
      <c r="D117" s="5" t="n"/>
      <c r="E117" s="6" t="n"/>
      <c r="F117" s="5" t="n"/>
      <c r="G117" s="5" t="n"/>
      <c r="H117" s="5" t="n"/>
      <c r="I117" s="5" t="n"/>
      <c r="J117" s="5" t="n"/>
      <c r="K117" s="5" t="n"/>
    </row>
    <row r="118">
      <c r="A118" s="7" t="n">
        <v>116</v>
      </c>
      <c r="B118" s="8" t="n"/>
      <c r="C118" s="9" t="n"/>
      <c r="D118" s="9" t="n"/>
      <c r="E118" s="10" t="n"/>
      <c r="F118" s="9" t="n"/>
      <c r="G118" s="9" t="n"/>
      <c r="H118" s="9" t="n"/>
      <c r="I118" s="9" t="n"/>
      <c r="J118" s="9" t="n"/>
      <c r="K118" s="9" t="n"/>
    </row>
    <row r="119">
      <c r="A119" s="3" t="n">
        <v>117</v>
      </c>
      <c r="B119" s="4" t="n"/>
      <c r="C119" s="5" t="n"/>
      <c r="D119" s="5" t="n"/>
      <c r="E119" s="6" t="n"/>
      <c r="F119" s="5" t="n"/>
      <c r="G119" s="5" t="n"/>
      <c r="H119" s="5" t="n"/>
      <c r="I119" s="5" t="n"/>
      <c r="J119" s="5" t="n"/>
      <c r="K119" s="5" t="n"/>
    </row>
    <row r="120">
      <c r="A120" s="7" t="n">
        <v>118</v>
      </c>
      <c r="B120" s="8" t="n"/>
      <c r="C120" s="9" t="n"/>
      <c r="D120" s="9" t="n"/>
      <c r="E120" s="10" t="n"/>
      <c r="F120" s="9" t="n"/>
      <c r="G120" s="9" t="n"/>
      <c r="H120" s="9" t="n"/>
      <c r="I120" s="9" t="n"/>
      <c r="J120" s="9" t="n"/>
      <c r="K120" s="9" t="n"/>
    </row>
    <row r="121">
      <c r="A121" s="3" t="n">
        <v>119</v>
      </c>
      <c r="B121" s="4" t="n"/>
      <c r="C121" s="5" t="n"/>
      <c r="D121" s="5" t="n"/>
      <c r="E121" s="6" t="n"/>
      <c r="F121" s="5" t="n"/>
      <c r="G121" s="5" t="n"/>
      <c r="H121" s="5" t="n"/>
      <c r="I121" s="5" t="n"/>
      <c r="J121" s="5" t="n"/>
      <c r="K121" s="5" t="n"/>
    </row>
    <row r="122">
      <c r="A122" s="7" t="n">
        <v>120</v>
      </c>
      <c r="B122" s="8" t="n"/>
      <c r="C122" s="9" t="n"/>
      <c r="D122" s="9" t="n"/>
      <c r="E122" s="10" t="n"/>
      <c r="F122" s="9" t="n"/>
      <c r="G122" s="9" t="n"/>
      <c r="H122" s="9" t="n"/>
      <c r="I122" s="9" t="n"/>
      <c r="J122" s="9" t="n"/>
      <c r="K122" s="9" t="n"/>
    </row>
    <row r="123">
      <c r="A123" s="3" t="n">
        <v>121</v>
      </c>
      <c r="B123" s="4" t="n"/>
      <c r="C123" s="5" t="n"/>
      <c r="D123" s="5" t="n"/>
      <c r="E123" s="6" t="n"/>
      <c r="F123" s="5" t="n"/>
      <c r="G123" s="5" t="n"/>
      <c r="H123" s="5" t="n"/>
      <c r="I123" s="5" t="n"/>
      <c r="J123" s="5" t="n"/>
      <c r="K123" s="5" t="n"/>
    </row>
    <row r="124">
      <c r="A124" s="7" t="n">
        <v>122</v>
      </c>
      <c r="B124" s="8" t="n"/>
      <c r="C124" s="9" t="n"/>
      <c r="D124" s="9" t="n"/>
      <c r="E124" s="10" t="n"/>
      <c r="F124" s="9" t="n"/>
      <c r="G124" s="9" t="n"/>
      <c r="H124" s="9" t="n"/>
      <c r="I124" s="9" t="n"/>
      <c r="J124" s="9" t="n"/>
      <c r="K124" s="9" t="n"/>
    </row>
    <row r="125">
      <c r="A125" s="3" t="n">
        <v>123</v>
      </c>
      <c r="B125" s="4" t="n"/>
      <c r="C125" s="5" t="n"/>
      <c r="D125" s="5" t="n"/>
      <c r="E125" s="6" t="n"/>
      <c r="F125" s="5" t="n"/>
      <c r="G125" s="5" t="n"/>
      <c r="H125" s="5" t="n"/>
      <c r="I125" s="5" t="n"/>
      <c r="J125" s="5" t="n"/>
      <c r="K125" s="5" t="n"/>
    </row>
    <row r="126">
      <c r="A126" s="7" t="n">
        <v>124</v>
      </c>
      <c r="B126" s="8" t="n"/>
      <c r="C126" s="9" t="n"/>
      <c r="D126" s="9" t="n"/>
      <c r="E126" s="10" t="n"/>
      <c r="F126" s="9" t="n"/>
      <c r="G126" s="9" t="n"/>
      <c r="H126" s="9" t="n"/>
      <c r="I126" s="9" t="n"/>
      <c r="J126" s="9" t="n"/>
      <c r="K126" s="9" t="n"/>
    </row>
    <row r="127">
      <c r="A127" s="3" t="n">
        <v>125</v>
      </c>
      <c r="B127" s="4" t="n"/>
      <c r="C127" s="5" t="n"/>
      <c r="D127" s="5" t="n"/>
      <c r="E127" s="6" t="n"/>
      <c r="F127" s="5" t="n"/>
      <c r="G127" s="5" t="n"/>
      <c r="H127" s="5" t="n"/>
      <c r="I127" s="5" t="n"/>
      <c r="J127" s="5" t="n"/>
      <c r="K127" s="5" t="n"/>
    </row>
    <row r="128">
      <c r="A128" s="7" t="n">
        <v>126</v>
      </c>
      <c r="B128" s="8" t="n"/>
      <c r="C128" s="9" t="n"/>
      <c r="D128" s="9" t="n"/>
      <c r="E128" s="10" t="n"/>
      <c r="F128" s="9" t="n"/>
      <c r="G128" s="9" t="n"/>
      <c r="H128" s="9" t="n"/>
      <c r="I128" s="9" t="n"/>
      <c r="J128" s="9" t="n"/>
      <c r="K128" s="9" t="n"/>
    </row>
    <row r="129">
      <c r="A129" s="3" t="n">
        <v>127</v>
      </c>
      <c r="B129" s="4" t="n"/>
      <c r="C129" s="5" t="n"/>
      <c r="D129" s="5" t="n"/>
      <c r="E129" s="6" t="n"/>
      <c r="F129" s="5" t="n"/>
      <c r="G129" s="5" t="n"/>
      <c r="H129" s="5" t="n"/>
      <c r="I129" s="5" t="n"/>
      <c r="J129" s="5" t="n"/>
      <c r="K129" s="5" t="n"/>
    </row>
    <row r="130">
      <c r="A130" s="7" t="n">
        <v>128</v>
      </c>
      <c r="B130" s="8" t="n"/>
      <c r="C130" s="9" t="n"/>
      <c r="D130" s="9" t="n"/>
      <c r="E130" s="10" t="n"/>
      <c r="F130" s="9" t="n"/>
      <c r="G130" s="9" t="n"/>
      <c r="H130" s="9" t="n"/>
      <c r="I130" s="9" t="n"/>
      <c r="J130" s="9" t="n"/>
      <c r="K130" s="9" t="n"/>
    </row>
    <row r="131">
      <c r="A131" s="3" t="n">
        <v>129</v>
      </c>
      <c r="B131" s="4" t="n"/>
      <c r="C131" s="5" t="n"/>
      <c r="D131" s="5" t="n"/>
      <c r="E131" s="6" t="n"/>
      <c r="F131" s="5" t="n"/>
      <c r="G131" s="5" t="n"/>
      <c r="H131" s="5" t="n"/>
      <c r="I131" s="5" t="n"/>
      <c r="J131" s="5" t="n"/>
      <c r="K131" s="5" t="n"/>
    </row>
    <row r="132">
      <c r="A132" s="7" t="n">
        <v>130</v>
      </c>
      <c r="B132" s="8" t="n"/>
      <c r="C132" s="9" t="n"/>
      <c r="D132" s="9" t="n"/>
      <c r="E132" s="10" t="n"/>
      <c r="F132" s="9" t="n"/>
      <c r="G132" s="9" t="n"/>
      <c r="H132" s="9" t="n"/>
      <c r="I132" s="9" t="n"/>
      <c r="J132" s="9" t="n"/>
      <c r="K132" s="9" t="n"/>
    </row>
    <row r="133">
      <c r="A133" s="3" t="n">
        <v>131</v>
      </c>
      <c r="B133" s="4" t="n"/>
      <c r="C133" s="5" t="n"/>
      <c r="D133" s="5" t="n"/>
      <c r="E133" s="6" t="n"/>
      <c r="F133" s="5" t="n"/>
      <c r="G133" s="5" t="n"/>
      <c r="H133" s="5" t="n"/>
      <c r="I133" s="5" t="n"/>
      <c r="J133" s="5" t="n"/>
      <c r="K133" s="5" t="n"/>
    </row>
    <row r="134">
      <c r="A134" s="7" t="n">
        <v>132</v>
      </c>
      <c r="B134" s="8" t="n"/>
      <c r="C134" s="9" t="n"/>
      <c r="D134" s="9" t="n"/>
      <c r="E134" s="10" t="n"/>
      <c r="F134" s="9" t="n"/>
      <c r="G134" s="9" t="n"/>
      <c r="H134" s="9" t="n"/>
      <c r="I134" s="9" t="n"/>
      <c r="J134" s="9" t="n"/>
      <c r="K134" s="9" t="n"/>
    </row>
    <row r="135">
      <c r="A135" s="3" t="n">
        <v>133</v>
      </c>
      <c r="B135" s="4" t="n"/>
      <c r="C135" s="5" t="n"/>
      <c r="D135" s="5" t="n"/>
      <c r="E135" s="6" t="n"/>
      <c r="F135" s="5" t="n"/>
      <c r="G135" s="5" t="n"/>
      <c r="H135" s="5" t="n"/>
      <c r="I135" s="5" t="n"/>
      <c r="J135" s="5" t="n"/>
      <c r="K135" s="5" t="n"/>
    </row>
    <row r="136">
      <c r="A136" s="7" t="n">
        <v>134</v>
      </c>
      <c r="B136" s="8" t="n"/>
      <c r="C136" s="9" t="n"/>
      <c r="D136" s="9" t="n"/>
      <c r="E136" s="10" t="n"/>
      <c r="F136" s="9" t="n"/>
      <c r="G136" s="9" t="n"/>
      <c r="H136" s="9" t="n"/>
      <c r="I136" s="9" t="n"/>
      <c r="J136" s="9" t="n"/>
      <c r="K136" s="9" t="n"/>
    </row>
    <row r="137">
      <c r="A137" s="3" t="n">
        <v>135</v>
      </c>
      <c r="B137" s="4" t="n"/>
      <c r="C137" s="5" t="n"/>
      <c r="D137" s="5" t="n"/>
      <c r="E137" s="6" t="n"/>
      <c r="F137" s="5" t="n"/>
      <c r="G137" s="5" t="n"/>
      <c r="H137" s="5" t="n"/>
      <c r="I137" s="5" t="n"/>
      <c r="J137" s="5" t="n"/>
      <c r="K137" s="5" t="n"/>
    </row>
    <row r="138">
      <c r="A138" s="7" t="n">
        <v>136</v>
      </c>
      <c r="B138" s="8" t="n"/>
      <c r="C138" s="9" t="n"/>
      <c r="D138" s="9" t="n"/>
      <c r="E138" s="10" t="n"/>
      <c r="F138" s="9" t="n"/>
      <c r="G138" s="9" t="n"/>
      <c r="H138" s="9" t="n"/>
      <c r="I138" s="9" t="n"/>
      <c r="J138" s="9" t="n"/>
      <c r="K138" s="9" t="n"/>
    </row>
    <row r="139">
      <c r="A139" s="3" t="n">
        <v>137</v>
      </c>
      <c r="B139" s="4" t="n"/>
      <c r="C139" s="5" t="n"/>
      <c r="D139" s="5" t="n"/>
      <c r="E139" s="6" t="n"/>
      <c r="F139" s="5" t="n"/>
      <c r="G139" s="5" t="n"/>
      <c r="H139" s="5" t="n"/>
      <c r="I139" s="5" t="n"/>
      <c r="J139" s="5" t="n"/>
      <c r="K139" s="5" t="n"/>
    </row>
    <row r="140">
      <c r="A140" s="7" t="n">
        <v>138</v>
      </c>
      <c r="B140" s="8" t="n"/>
      <c r="C140" s="9" t="n"/>
      <c r="D140" s="9" t="n"/>
      <c r="E140" s="10" t="n"/>
      <c r="F140" s="9" t="n"/>
      <c r="G140" s="9" t="n"/>
      <c r="H140" s="9" t="n"/>
      <c r="I140" s="9" t="n"/>
      <c r="J140" s="9" t="n"/>
      <c r="K140" s="9" t="n"/>
    </row>
    <row r="141">
      <c r="A141" s="3" t="n">
        <v>139</v>
      </c>
      <c r="B141" s="4" t="n"/>
      <c r="C141" s="5" t="n"/>
      <c r="D141" s="5" t="n"/>
      <c r="E141" s="6" t="n"/>
      <c r="F141" s="5" t="n"/>
      <c r="G141" s="5" t="n"/>
      <c r="H141" s="5" t="n"/>
      <c r="I141" s="5" t="n"/>
      <c r="J141" s="5" t="n"/>
      <c r="K141" s="5" t="n"/>
    </row>
    <row r="142">
      <c r="A142" s="7" t="n">
        <v>140</v>
      </c>
      <c r="B142" s="8" t="n"/>
      <c r="C142" s="9" t="n"/>
      <c r="D142" s="9" t="n"/>
      <c r="E142" s="10" t="n"/>
      <c r="F142" s="9" t="n"/>
      <c r="G142" s="9" t="n"/>
      <c r="H142" s="9" t="n"/>
      <c r="I142" s="9" t="n"/>
      <c r="J142" s="9" t="n"/>
      <c r="K142" s="9" t="n"/>
    </row>
    <row r="143">
      <c r="A143" s="3" t="n">
        <v>141</v>
      </c>
      <c r="B143" s="4" t="n"/>
      <c r="C143" s="5" t="n"/>
      <c r="D143" s="5" t="n"/>
      <c r="E143" s="6" t="n"/>
      <c r="F143" s="5" t="n"/>
      <c r="G143" s="5" t="n"/>
      <c r="H143" s="5" t="n"/>
      <c r="I143" s="5" t="n"/>
      <c r="J143" s="5" t="n"/>
      <c r="K143" s="5" t="n"/>
    </row>
    <row r="144">
      <c r="A144" s="7" t="n">
        <v>142</v>
      </c>
      <c r="B144" s="8" t="n"/>
      <c r="C144" s="9" t="n"/>
      <c r="D144" s="9" t="n"/>
      <c r="E144" s="10" t="n"/>
      <c r="F144" s="9" t="n"/>
      <c r="G144" s="9" t="n"/>
      <c r="H144" s="9" t="n"/>
      <c r="I144" s="9" t="n"/>
      <c r="J144" s="9" t="n"/>
      <c r="K144" s="9" t="n"/>
    </row>
    <row r="145">
      <c r="A145" s="3" t="n">
        <v>143</v>
      </c>
      <c r="B145" s="4" t="n"/>
      <c r="C145" s="5" t="n"/>
      <c r="D145" s="5" t="n"/>
      <c r="E145" s="6" t="n"/>
      <c r="F145" s="5" t="n"/>
      <c r="G145" s="5" t="n"/>
      <c r="H145" s="5" t="n"/>
      <c r="I145" s="5" t="n"/>
      <c r="J145" s="5" t="n"/>
      <c r="K145" s="5" t="n"/>
    </row>
    <row r="146">
      <c r="A146" s="7" t="n">
        <v>144</v>
      </c>
      <c r="B146" s="8" t="n"/>
      <c r="C146" s="9" t="n"/>
      <c r="D146" s="9" t="n"/>
      <c r="E146" s="10" t="n"/>
      <c r="F146" s="9" t="n"/>
      <c r="G146" s="9" t="n"/>
      <c r="H146" s="9" t="n"/>
      <c r="I146" s="9" t="n"/>
      <c r="J146" s="9" t="n"/>
      <c r="K146" s="9" t="n"/>
    </row>
    <row r="147">
      <c r="A147" s="3" t="n">
        <v>145</v>
      </c>
      <c r="B147" s="4" t="n"/>
      <c r="C147" s="5" t="n"/>
      <c r="D147" s="5" t="n"/>
      <c r="E147" s="6" t="n"/>
      <c r="F147" s="5" t="n"/>
      <c r="G147" s="5" t="n"/>
      <c r="H147" s="5" t="n"/>
      <c r="I147" s="5" t="n"/>
      <c r="J147" s="5" t="n"/>
      <c r="K147" s="5" t="n"/>
    </row>
    <row r="148">
      <c r="A148" s="7" t="n">
        <v>146</v>
      </c>
      <c r="B148" s="8" t="n"/>
      <c r="C148" s="9" t="n"/>
      <c r="D148" s="9" t="n"/>
      <c r="E148" s="10" t="n"/>
      <c r="F148" s="9" t="n"/>
      <c r="G148" s="9" t="n"/>
      <c r="H148" s="9" t="n"/>
      <c r="I148" s="9" t="n"/>
      <c r="J148" s="9" t="n"/>
      <c r="K148" s="9" t="n"/>
    </row>
    <row r="149">
      <c r="A149" s="3" t="n">
        <v>147</v>
      </c>
      <c r="B149" s="4" t="n"/>
      <c r="C149" s="5" t="n"/>
      <c r="D149" s="5" t="n"/>
      <c r="E149" s="6" t="n"/>
      <c r="F149" s="5" t="n"/>
      <c r="G149" s="5" t="n"/>
      <c r="H149" s="5" t="n"/>
      <c r="I149" s="5" t="n"/>
      <c r="J149" s="5" t="n"/>
      <c r="K149" s="5" t="n"/>
    </row>
    <row r="150">
      <c r="A150" s="7" t="n">
        <v>148</v>
      </c>
      <c r="B150" s="8" t="n"/>
      <c r="C150" s="9" t="n"/>
      <c r="D150" s="9" t="n"/>
      <c r="E150" s="10" t="n"/>
      <c r="F150" s="9" t="n"/>
      <c r="G150" s="9" t="n"/>
      <c r="H150" s="9" t="n"/>
      <c r="I150" s="9" t="n"/>
      <c r="J150" s="9" t="n"/>
      <c r="K150" s="9" t="n"/>
    </row>
    <row r="151">
      <c r="A151" s="3" t="n">
        <v>149</v>
      </c>
      <c r="B151" s="4" t="n"/>
      <c r="C151" s="5" t="n"/>
      <c r="D151" s="5" t="n"/>
      <c r="E151" s="6" t="n"/>
      <c r="F151" s="5" t="n"/>
      <c r="G151" s="5" t="n"/>
      <c r="H151" s="5" t="n"/>
      <c r="I151" s="5" t="n"/>
      <c r="J151" s="5" t="n"/>
      <c r="K151" s="5" t="n"/>
    </row>
    <row r="152">
      <c r="A152" s="7" t="n">
        <v>150</v>
      </c>
      <c r="B152" s="8" t="n"/>
      <c r="C152" s="9" t="n"/>
      <c r="D152" s="9" t="n"/>
      <c r="E152" s="10" t="n"/>
      <c r="F152" s="9" t="n"/>
      <c r="G152" s="9" t="n"/>
      <c r="H152" s="9" t="n"/>
      <c r="I152" s="9" t="n"/>
      <c r="J152" s="9" t="n"/>
      <c r="K152" s="9" t="n"/>
    </row>
    <row r="153">
      <c r="A153" s="3" t="n">
        <v>151</v>
      </c>
      <c r="B153" s="4" t="n"/>
      <c r="C153" s="5" t="n"/>
      <c r="D153" s="5" t="n"/>
      <c r="E153" s="6" t="n"/>
      <c r="F153" s="5" t="n"/>
      <c r="G153" s="5" t="n"/>
      <c r="H153" s="5" t="n"/>
      <c r="I153" s="5" t="n"/>
      <c r="J153" s="5" t="n"/>
      <c r="K153" s="5" t="n"/>
    </row>
    <row r="154">
      <c r="A154" s="7" t="n">
        <v>152</v>
      </c>
      <c r="B154" s="8" t="n"/>
      <c r="C154" s="9" t="n"/>
      <c r="D154" s="9" t="n"/>
      <c r="E154" s="10" t="n"/>
      <c r="F154" s="9" t="n"/>
      <c r="G154" s="9" t="n"/>
      <c r="H154" s="9" t="n"/>
      <c r="I154" s="9" t="n"/>
      <c r="J154" s="9" t="n"/>
      <c r="K154" s="9" t="n"/>
    </row>
    <row r="155">
      <c r="A155" s="3" t="n">
        <v>153</v>
      </c>
      <c r="B155" s="4" t="n"/>
      <c r="C155" s="5" t="n"/>
      <c r="D155" s="5" t="n"/>
      <c r="E155" s="6" t="n"/>
      <c r="F155" s="5" t="n"/>
      <c r="G155" s="5" t="n"/>
      <c r="H155" s="5" t="n"/>
      <c r="I155" s="5" t="n"/>
      <c r="J155" s="5" t="n"/>
      <c r="K155" s="5" t="n"/>
    </row>
    <row r="156">
      <c r="A156" s="7" t="n">
        <v>154</v>
      </c>
      <c r="B156" s="8" t="n"/>
      <c r="C156" s="9" t="n"/>
      <c r="D156" s="9" t="n"/>
      <c r="E156" s="10" t="n"/>
      <c r="F156" s="9" t="n"/>
      <c r="G156" s="9" t="n"/>
      <c r="H156" s="9" t="n"/>
      <c r="I156" s="9" t="n"/>
      <c r="J156" s="9" t="n"/>
      <c r="K156" s="9" t="n"/>
    </row>
    <row r="157">
      <c r="A157" s="3" t="n">
        <v>155</v>
      </c>
      <c r="B157" s="4" t="n"/>
      <c r="C157" s="5" t="n"/>
      <c r="D157" s="5" t="n"/>
      <c r="E157" s="6" t="n"/>
      <c r="F157" s="5" t="n"/>
      <c r="G157" s="5" t="n"/>
      <c r="H157" s="5" t="n"/>
      <c r="I157" s="5" t="n"/>
      <c r="J157" s="5" t="n"/>
      <c r="K157" s="5" t="n"/>
    </row>
    <row r="158">
      <c r="A158" s="7" t="n">
        <v>156</v>
      </c>
      <c r="B158" s="8" t="n"/>
      <c r="C158" s="9" t="n"/>
      <c r="D158" s="9" t="n"/>
      <c r="E158" s="10" t="n"/>
      <c r="F158" s="9" t="n"/>
      <c r="G158" s="9" t="n"/>
      <c r="H158" s="9" t="n"/>
      <c r="I158" s="9" t="n"/>
      <c r="J158" s="9" t="n"/>
      <c r="K158" s="9" t="n"/>
    </row>
    <row r="159">
      <c r="A159" s="3" t="n">
        <v>157</v>
      </c>
      <c r="B159" s="4" t="n"/>
      <c r="C159" s="5" t="n"/>
      <c r="D159" s="5" t="n"/>
      <c r="E159" s="6" t="n"/>
      <c r="F159" s="5" t="n"/>
      <c r="G159" s="5" t="n"/>
      <c r="H159" s="5" t="n"/>
      <c r="I159" s="5" t="n"/>
      <c r="J159" s="5" t="n"/>
      <c r="K159" s="5" t="n"/>
    </row>
    <row r="160">
      <c r="A160" s="7" t="n">
        <v>158</v>
      </c>
      <c r="B160" s="8" t="n"/>
      <c r="C160" s="9" t="n"/>
      <c r="D160" s="9" t="n"/>
      <c r="E160" s="10" t="n"/>
      <c r="F160" s="9" t="n"/>
      <c r="G160" s="9" t="n"/>
      <c r="H160" s="9" t="n"/>
      <c r="I160" s="9" t="n"/>
      <c r="J160" s="9" t="n"/>
      <c r="K160" s="9" t="n"/>
    </row>
    <row r="161">
      <c r="A161" s="3" t="n">
        <v>159</v>
      </c>
      <c r="B161" s="4" t="n"/>
      <c r="C161" s="5" t="n"/>
      <c r="D161" s="5" t="n"/>
      <c r="E161" s="6" t="n"/>
      <c r="F161" s="5" t="n"/>
      <c r="G161" s="5" t="n"/>
      <c r="H161" s="5" t="n"/>
      <c r="I161" s="5" t="n"/>
      <c r="J161" s="5" t="n"/>
      <c r="K161" s="5" t="n"/>
    </row>
    <row r="162">
      <c r="A162" s="7" t="n">
        <v>160</v>
      </c>
      <c r="B162" s="8" t="n"/>
      <c r="C162" s="9" t="n"/>
      <c r="D162" s="9" t="n"/>
      <c r="E162" s="10" t="n"/>
      <c r="F162" s="9" t="n"/>
      <c r="G162" s="9" t="n"/>
      <c r="H162" s="9" t="n"/>
      <c r="I162" s="9" t="n"/>
      <c r="J162" s="9" t="n"/>
      <c r="K162" s="9" t="n"/>
    </row>
    <row r="163">
      <c r="A163" s="3" t="n">
        <v>161</v>
      </c>
      <c r="B163" s="4" t="n"/>
      <c r="C163" s="5" t="n"/>
      <c r="D163" s="5" t="n"/>
      <c r="E163" s="6" t="n"/>
      <c r="F163" s="5" t="n"/>
      <c r="G163" s="5" t="n"/>
      <c r="H163" s="5" t="n"/>
      <c r="I163" s="5" t="n"/>
      <c r="J163" s="5" t="n"/>
      <c r="K163" s="5" t="n"/>
    </row>
    <row r="164">
      <c r="A164" s="7" t="n">
        <v>162</v>
      </c>
      <c r="B164" s="8" t="n"/>
      <c r="C164" s="9" t="n"/>
      <c r="D164" s="9" t="n"/>
      <c r="E164" s="10" t="n"/>
      <c r="F164" s="9" t="n"/>
      <c r="G164" s="9" t="n"/>
      <c r="H164" s="9" t="n"/>
      <c r="I164" s="9" t="n"/>
      <c r="J164" s="9" t="n"/>
      <c r="K164" s="9" t="n"/>
    </row>
    <row r="165">
      <c r="A165" s="3" t="n">
        <v>163</v>
      </c>
      <c r="B165" s="4" t="n"/>
      <c r="C165" s="5" t="n"/>
      <c r="D165" s="5" t="n"/>
      <c r="E165" s="6" t="n"/>
      <c r="F165" s="5" t="n"/>
      <c r="G165" s="5" t="n"/>
      <c r="H165" s="5" t="n"/>
      <c r="I165" s="5" t="n"/>
      <c r="J165" s="5" t="n"/>
      <c r="K165" s="5" t="n"/>
    </row>
    <row r="166">
      <c r="A166" s="7" t="n">
        <v>164</v>
      </c>
      <c r="B166" s="8" t="n"/>
      <c r="C166" s="9" t="n"/>
      <c r="D166" s="9" t="n"/>
      <c r="E166" s="10" t="n"/>
      <c r="F166" s="9" t="n"/>
      <c r="G166" s="9" t="n"/>
      <c r="H166" s="9" t="n"/>
      <c r="I166" s="9" t="n"/>
      <c r="J166" s="9" t="n"/>
      <c r="K166" s="9" t="n"/>
    </row>
    <row r="167">
      <c r="A167" s="3" t="n">
        <v>165</v>
      </c>
      <c r="B167" s="4" t="n"/>
      <c r="C167" s="5" t="n"/>
      <c r="D167" s="5" t="n"/>
      <c r="E167" s="6" t="n"/>
      <c r="F167" s="5" t="n"/>
      <c r="G167" s="5" t="n"/>
      <c r="H167" s="5" t="n"/>
      <c r="I167" s="5" t="n"/>
      <c r="J167" s="5" t="n"/>
      <c r="K167" s="5" t="n"/>
    </row>
    <row r="168">
      <c r="A168" s="7" t="n">
        <v>166</v>
      </c>
      <c r="B168" s="8" t="n"/>
      <c r="C168" s="9" t="n"/>
      <c r="D168" s="9" t="n"/>
      <c r="E168" s="10" t="n"/>
      <c r="F168" s="9" t="n"/>
      <c r="G168" s="9" t="n"/>
      <c r="H168" s="9" t="n"/>
      <c r="I168" s="9" t="n"/>
      <c r="J168" s="9" t="n"/>
      <c r="K168" s="9" t="n"/>
    </row>
    <row r="169">
      <c r="A169" s="3" t="n">
        <v>167</v>
      </c>
      <c r="B169" s="4" t="n"/>
      <c r="C169" s="5" t="n"/>
      <c r="D169" s="5" t="n"/>
      <c r="E169" s="6" t="n"/>
      <c r="F169" s="5" t="n"/>
      <c r="G169" s="5" t="n"/>
      <c r="H169" s="5" t="n"/>
      <c r="I169" s="5" t="n"/>
      <c r="J169" s="5" t="n"/>
      <c r="K169" s="5" t="n"/>
    </row>
    <row r="170">
      <c r="A170" s="7" t="n">
        <v>168</v>
      </c>
      <c r="B170" s="8" t="n"/>
      <c r="C170" s="9" t="n"/>
      <c r="D170" s="9" t="n"/>
      <c r="E170" s="10" t="n"/>
      <c r="F170" s="9" t="n"/>
      <c r="G170" s="9" t="n"/>
      <c r="H170" s="9" t="n"/>
      <c r="I170" s="9" t="n"/>
      <c r="J170" s="9" t="n"/>
      <c r="K170" s="9" t="n"/>
    </row>
    <row r="171">
      <c r="A171" s="3" t="n">
        <v>169</v>
      </c>
      <c r="B171" s="4" t="n"/>
      <c r="C171" s="5" t="n"/>
      <c r="D171" s="5" t="n"/>
      <c r="E171" s="6" t="n"/>
      <c r="F171" s="5" t="n"/>
      <c r="G171" s="5" t="n"/>
      <c r="H171" s="5" t="n"/>
      <c r="I171" s="5" t="n"/>
      <c r="J171" s="5" t="n"/>
      <c r="K171" s="5" t="n"/>
    </row>
    <row r="172">
      <c r="A172" s="7" t="n">
        <v>170</v>
      </c>
      <c r="B172" s="8" t="n"/>
      <c r="C172" s="9" t="n"/>
      <c r="D172" s="9" t="n"/>
      <c r="E172" s="10" t="n"/>
      <c r="F172" s="9" t="n"/>
      <c r="G172" s="9" t="n"/>
      <c r="H172" s="9" t="n"/>
      <c r="I172" s="9" t="n"/>
      <c r="J172" s="9" t="n"/>
      <c r="K172" s="9" t="n"/>
    </row>
    <row r="173">
      <c r="A173" s="3" t="n">
        <v>171</v>
      </c>
      <c r="B173" s="4" t="n"/>
      <c r="C173" s="5" t="n"/>
      <c r="D173" s="5" t="n"/>
      <c r="E173" s="6" t="n"/>
      <c r="F173" s="5" t="n"/>
      <c r="G173" s="5" t="n"/>
      <c r="H173" s="5" t="n"/>
      <c r="I173" s="5" t="n"/>
      <c r="J173" s="5" t="n"/>
      <c r="K173" s="5" t="n"/>
    </row>
    <row r="174">
      <c r="A174" s="7" t="n">
        <v>172</v>
      </c>
      <c r="B174" s="8" t="n"/>
      <c r="C174" s="9" t="n"/>
      <c r="D174" s="9" t="n"/>
      <c r="E174" s="10" t="n"/>
      <c r="F174" s="9" t="n"/>
      <c r="G174" s="9" t="n"/>
      <c r="H174" s="9" t="n"/>
      <c r="I174" s="9" t="n"/>
      <c r="J174" s="9" t="n"/>
      <c r="K174" s="9" t="n"/>
    </row>
    <row r="175">
      <c r="A175" s="3" t="n">
        <v>173</v>
      </c>
      <c r="B175" s="4" t="n"/>
      <c r="C175" s="5" t="n"/>
      <c r="D175" s="5" t="n"/>
      <c r="E175" s="6" t="n"/>
      <c r="F175" s="5" t="n"/>
      <c r="G175" s="5" t="n"/>
      <c r="H175" s="5" t="n"/>
      <c r="I175" s="5" t="n"/>
      <c r="J175" s="5" t="n"/>
      <c r="K175" s="5" t="n"/>
    </row>
    <row r="176">
      <c r="A176" s="7" t="n">
        <v>174</v>
      </c>
      <c r="B176" s="8" t="n"/>
      <c r="C176" s="9" t="n"/>
      <c r="D176" s="9" t="n"/>
      <c r="E176" s="10" t="n"/>
      <c r="F176" s="9" t="n"/>
      <c r="G176" s="9" t="n"/>
      <c r="H176" s="9" t="n"/>
      <c r="I176" s="9" t="n"/>
      <c r="J176" s="9" t="n"/>
      <c r="K176" s="9" t="n"/>
    </row>
    <row r="177">
      <c r="A177" s="3" t="n">
        <v>175</v>
      </c>
      <c r="B177" s="4" t="n"/>
      <c r="C177" s="5" t="n"/>
      <c r="D177" s="5" t="n"/>
      <c r="E177" s="6" t="n"/>
      <c r="F177" s="5" t="n"/>
      <c r="G177" s="5" t="n"/>
      <c r="H177" s="5" t="n"/>
      <c r="I177" s="5" t="n"/>
      <c r="J177" s="5" t="n"/>
      <c r="K177" s="5" t="n"/>
    </row>
    <row r="178">
      <c r="A178" s="7" t="n">
        <v>176</v>
      </c>
      <c r="B178" s="8" t="n"/>
      <c r="C178" s="9" t="n"/>
      <c r="D178" s="9" t="n"/>
      <c r="E178" s="10" t="n"/>
      <c r="F178" s="9" t="n"/>
      <c r="G178" s="9" t="n"/>
      <c r="H178" s="9" t="n"/>
      <c r="I178" s="9" t="n"/>
      <c r="J178" s="9" t="n"/>
      <c r="K178" s="9" t="n"/>
    </row>
    <row r="179">
      <c r="A179" s="3" t="n">
        <v>177</v>
      </c>
      <c r="B179" s="4" t="n"/>
      <c r="C179" s="5" t="n"/>
      <c r="D179" s="5" t="n"/>
      <c r="E179" s="6" t="n"/>
      <c r="F179" s="5" t="n"/>
      <c r="G179" s="5" t="n"/>
      <c r="H179" s="5" t="n"/>
      <c r="I179" s="5" t="n"/>
      <c r="J179" s="5" t="n"/>
      <c r="K179" s="5" t="n"/>
    </row>
    <row r="180">
      <c r="A180" s="7" t="n">
        <v>178</v>
      </c>
      <c r="B180" s="8" t="n"/>
      <c r="C180" s="9" t="n"/>
      <c r="D180" s="9" t="n"/>
      <c r="E180" s="10" t="n"/>
      <c r="F180" s="9" t="n"/>
      <c r="G180" s="9" t="n"/>
      <c r="H180" s="9" t="n"/>
      <c r="I180" s="9" t="n"/>
      <c r="J180" s="9" t="n"/>
      <c r="K180" s="9" t="n"/>
    </row>
    <row r="181">
      <c r="A181" s="3" t="n">
        <v>179</v>
      </c>
      <c r="B181" s="4" t="n"/>
      <c r="C181" s="5" t="n"/>
      <c r="D181" s="5" t="n"/>
      <c r="E181" s="6" t="n"/>
      <c r="F181" s="5" t="n"/>
      <c r="G181" s="5" t="n"/>
      <c r="H181" s="5" t="n"/>
      <c r="I181" s="5" t="n"/>
      <c r="J181" s="5" t="n"/>
      <c r="K181" s="5" t="n"/>
    </row>
    <row r="182">
      <c r="A182" s="7" t="n">
        <v>180</v>
      </c>
      <c r="B182" s="8" t="n"/>
      <c r="C182" s="9" t="n"/>
      <c r="D182" s="9" t="n"/>
      <c r="E182" s="10" t="n"/>
      <c r="F182" s="9" t="n"/>
      <c r="G182" s="9" t="n"/>
      <c r="H182" s="9" t="n"/>
      <c r="I182" s="9" t="n"/>
      <c r="J182" s="9" t="n"/>
      <c r="K182" s="9" t="n"/>
    </row>
    <row r="183">
      <c r="A183" s="3" t="n">
        <v>181</v>
      </c>
      <c r="B183" s="4" t="n"/>
      <c r="C183" s="5" t="n"/>
      <c r="D183" s="5" t="n"/>
      <c r="E183" s="6" t="n"/>
      <c r="F183" s="5" t="n"/>
      <c r="G183" s="5" t="n"/>
      <c r="H183" s="5" t="n"/>
      <c r="I183" s="5" t="n"/>
      <c r="J183" s="5" t="n"/>
      <c r="K183" s="5" t="n"/>
    </row>
    <row r="184">
      <c r="A184" s="7" t="n">
        <v>182</v>
      </c>
      <c r="B184" s="8" t="n"/>
      <c r="C184" s="9" t="n"/>
      <c r="D184" s="9" t="n"/>
      <c r="E184" s="10" t="n"/>
      <c r="F184" s="9" t="n"/>
      <c r="G184" s="9" t="n"/>
      <c r="H184" s="9" t="n"/>
      <c r="I184" s="9" t="n"/>
      <c r="J184" s="9" t="n"/>
      <c r="K184" s="9" t="n"/>
    </row>
    <row r="185">
      <c r="A185" s="3" t="n">
        <v>183</v>
      </c>
      <c r="B185" s="4" t="n"/>
      <c r="C185" s="5" t="n"/>
      <c r="D185" s="5" t="n"/>
      <c r="E185" s="6" t="n"/>
      <c r="F185" s="5" t="n"/>
      <c r="G185" s="5" t="n"/>
      <c r="H185" s="5" t="n"/>
      <c r="I185" s="5" t="n"/>
      <c r="J185" s="5" t="n"/>
      <c r="K185" s="5" t="n"/>
    </row>
    <row r="186">
      <c r="A186" s="7" t="n">
        <v>184</v>
      </c>
      <c r="B186" s="8" t="n"/>
      <c r="C186" s="9" t="n"/>
      <c r="D186" s="9" t="n"/>
      <c r="E186" s="10" t="n"/>
      <c r="F186" s="9" t="n"/>
      <c r="G186" s="9" t="n"/>
      <c r="H186" s="9" t="n"/>
      <c r="I186" s="9" t="n"/>
      <c r="J186" s="9" t="n"/>
      <c r="K186" s="9" t="n"/>
    </row>
    <row r="187">
      <c r="A187" s="3" t="n">
        <v>185</v>
      </c>
      <c r="B187" s="4" t="n"/>
      <c r="C187" s="5" t="n"/>
      <c r="D187" s="5" t="n"/>
      <c r="E187" s="6" t="n"/>
      <c r="F187" s="5" t="n"/>
      <c r="G187" s="5" t="n"/>
      <c r="H187" s="5" t="n"/>
      <c r="I187" s="5" t="n"/>
      <c r="J187" s="5" t="n"/>
      <c r="K187" s="5" t="n"/>
    </row>
    <row r="188">
      <c r="A188" s="7" t="n">
        <v>186</v>
      </c>
      <c r="B188" s="8" t="n"/>
      <c r="C188" s="9" t="n"/>
      <c r="D188" s="9" t="n"/>
      <c r="E188" s="10" t="n"/>
      <c r="F188" s="9" t="n"/>
      <c r="G188" s="9" t="n"/>
      <c r="H188" s="9" t="n"/>
      <c r="I188" s="9" t="n"/>
      <c r="J188" s="9" t="n"/>
      <c r="K188" s="9" t="n"/>
    </row>
    <row r="189">
      <c r="A189" s="3" t="n">
        <v>187</v>
      </c>
      <c r="B189" s="4" t="n"/>
      <c r="C189" s="5" t="n"/>
      <c r="D189" s="5" t="n"/>
      <c r="E189" s="6" t="n"/>
      <c r="F189" s="5" t="n"/>
      <c r="G189" s="5" t="n"/>
      <c r="H189" s="5" t="n"/>
      <c r="I189" s="5" t="n"/>
      <c r="J189" s="5" t="n"/>
      <c r="K189" s="5" t="n"/>
    </row>
    <row r="190">
      <c r="A190" s="7" t="n">
        <v>188</v>
      </c>
      <c r="B190" s="8" t="n"/>
      <c r="C190" s="9" t="n"/>
      <c r="D190" s="9" t="n"/>
      <c r="E190" s="10" t="n"/>
      <c r="F190" s="9" t="n"/>
      <c r="G190" s="9" t="n"/>
      <c r="H190" s="9" t="n"/>
      <c r="I190" s="9" t="n"/>
      <c r="J190" s="9" t="n"/>
      <c r="K190" s="9" t="n"/>
    </row>
    <row r="191">
      <c r="A191" s="3" t="n">
        <v>189</v>
      </c>
      <c r="B191" s="4" t="n"/>
      <c r="C191" s="5" t="n"/>
      <c r="D191" s="5" t="n"/>
      <c r="E191" s="6" t="n"/>
      <c r="F191" s="5" t="n"/>
      <c r="G191" s="5" t="n"/>
      <c r="H191" s="5" t="n"/>
      <c r="I191" s="5" t="n"/>
      <c r="J191" s="5" t="n"/>
      <c r="K191" s="5" t="n"/>
    </row>
    <row r="192">
      <c r="A192" s="7" t="n">
        <v>190</v>
      </c>
      <c r="B192" s="8" t="n"/>
      <c r="C192" s="9" t="n"/>
      <c r="D192" s="9" t="n"/>
      <c r="E192" s="10" t="n"/>
      <c r="F192" s="9" t="n"/>
      <c r="G192" s="9" t="n"/>
      <c r="H192" s="9" t="n"/>
      <c r="I192" s="9" t="n"/>
      <c r="J192" s="9" t="n"/>
      <c r="K192" s="9" t="n"/>
    </row>
    <row r="193">
      <c r="A193" s="3" t="n">
        <v>191</v>
      </c>
      <c r="B193" s="4" t="n"/>
      <c r="C193" s="5" t="n"/>
      <c r="D193" s="5" t="n"/>
      <c r="E193" s="6" t="n"/>
      <c r="F193" s="5" t="n"/>
      <c r="G193" s="5" t="n"/>
      <c r="H193" s="5" t="n"/>
      <c r="I193" s="5" t="n"/>
      <c r="J193" s="5" t="n"/>
      <c r="K193" s="5" t="n"/>
    </row>
    <row r="194">
      <c r="A194" s="7" t="n">
        <v>192</v>
      </c>
      <c r="B194" s="8" t="n"/>
      <c r="C194" s="9" t="n"/>
      <c r="D194" s="9" t="n"/>
      <c r="E194" s="10" t="n"/>
      <c r="F194" s="9" t="n"/>
      <c r="G194" s="9" t="n"/>
      <c r="H194" s="9" t="n"/>
      <c r="I194" s="9" t="n"/>
      <c r="J194" s="9" t="n"/>
      <c r="K194" s="9" t="n"/>
    </row>
    <row r="195">
      <c r="A195" s="3" t="n">
        <v>193</v>
      </c>
      <c r="B195" s="4" t="n"/>
      <c r="C195" s="5" t="n"/>
      <c r="D195" s="5" t="n"/>
      <c r="E195" s="6" t="n"/>
      <c r="F195" s="5" t="n"/>
      <c r="G195" s="5" t="n"/>
      <c r="H195" s="5" t="n"/>
      <c r="I195" s="5" t="n"/>
      <c r="J195" s="5" t="n"/>
      <c r="K195" s="5" t="n"/>
    </row>
    <row r="196">
      <c r="A196" s="7" t="n">
        <v>194</v>
      </c>
      <c r="B196" s="8" t="n"/>
      <c r="C196" s="9" t="n"/>
      <c r="D196" s="9" t="n"/>
      <c r="E196" s="10" t="n"/>
      <c r="F196" s="9" t="n"/>
      <c r="G196" s="9" t="n"/>
      <c r="H196" s="9" t="n"/>
      <c r="I196" s="9" t="n"/>
      <c r="J196" s="9" t="n"/>
      <c r="K196" s="9" t="n"/>
    </row>
    <row r="197">
      <c r="A197" s="3" t="n">
        <v>195</v>
      </c>
      <c r="B197" s="4" t="n"/>
      <c r="C197" s="5" t="n"/>
      <c r="D197" s="5" t="n"/>
      <c r="E197" s="6" t="n"/>
      <c r="F197" s="5" t="n"/>
      <c r="G197" s="5" t="n"/>
      <c r="H197" s="5" t="n"/>
      <c r="I197" s="5" t="n"/>
      <c r="J197" s="5" t="n"/>
      <c r="K197" s="5" t="n"/>
    </row>
    <row r="198">
      <c r="A198" s="7" t="n">
        <v>196</v>
      </c>
      <c r="B198" s="8" t="n"/>
      <c r="C198" s="9" t="n"/>
      <c r="D198" s="9" t="n"/>
      <c r="E198" s="10" t="n"/>
      <c r="F198" s="9" t="n"/>
      <c r="G198" s="9" t="n"/>
      <c r="H198" s="9" t="n"/>
      <c r="I198" s="9" t="n"/>
      <c r="J198" s="9" t="n"/>
      <c r="K198" s="9" t="n"/>
    </row>
    <row r="199">
      <c r="A199" s="3" t="n">
        <v>197</v>
      </c>
      <c r="B199" s="4" t="n"/>
      <c r="C199" s="5" t="n"/>
      <c r="D199" s="5" t="n"/>
      <c r="E199" s="6" t="n"/>
      <c r="F199" s="5" t="n"/>
      <c r="G199" s="5" t="n"/>
      <c r="H199" s="5" t="n"/>
      <c r="I199" s="5" t="n"/>
      <c r="J199" s="5" t="n"/>
      <c r="K199" s="5" t="n"/>
    </row>
    <row r="200">
      <c r="A200" s="7" t="n">
        <v>198</v>
      </c>
      <c r="B200" s="8" t="n"/>
      <c r="C200" s="9" t="n"/>
      <c r="D200" s="9" t="n"/>
      <c r="E200" s="10" t="n"/>
      <c r="F200" s="9" t="n"/>
      <c r="G200" s="9" t="n"/>
      <c r="H200" s="9" t="n"/>
      <c r="I200" s="9" t="n"/>
      <c r="J200" s="9" t="n"/>
      <c r="K200" s="9" t="n"/>
    </row>
    <row r="201">
      <c r="A201" s="3" t="n">
        <v>199</v>
      </c>
      <c r="B201" s="4" t="n"/>
      <c r="C201" s="5" t="n"/>
      <c r="D201" s="5" t="n"/>
      <c r="E201" s="6" t="n"/>
      <c r="F201" s="5" t="n"/>
      <c r="G201" s="5" t="n"/>
      <c r="H201" s="5" t="n"/>
      <c r="I201" s="5" t="n"/>
      <c r="J201" s="5" t="n"/>
      <c r="K201" s="5" t="n"/>
    </row>
    <row r="202">
      <c r="A202" s="7" t="n">
        <v>200</v>
      </c>
      <c r="B202" s="8" t="n"/>
      <c r="C202" s="9" t="n"/>
      <c r="D202" s="9" t="n"/>
      <c r="E202" s="10" t="n"/>
      <c r="F202" s="9" t="n"/>
      <c r="G202" s="9" t="n"/>
      <c r="H202" s="9" t="n"/>
      <c r="I202" s="9" t="n"/>
      <c r="J202" s="9" t="n"/>
      <c r="K202" s="9" t="n"/>
    </row>
    <row r="203">
      <c r="A203" s="3" t="n">
        <v>201</v>
      </c>
      <c r="B203" s="4" t="n"/>
      <c r="C203" s="5" t="n"/>
      <c r="D203" s="5" t="n"/>
      <c r="E203" s="6" t="n"/>
      <c r="F203" s="5" t="n"/>
      <c r="G203" s="5" t="n"/>
      <c r="H203" s="5" t="n"/>
      <c r="I203" s="5" t="n"/>
      <c r="J203" s="5" t="n"/>
      <c r="K203" s="5" t="n"/>
    </row>
    <row r="204">
      <c r="A204" s="7" t="n">
        <v>202</v>
      </c>
      <c r="B204" s="8" t="n"/>
      <c r="C204" s="9" t="n"/>
      <c r="D204" s="9" t="n"/>
      <c r="E204" s="10" t="n"/>
      <c r="F204" s="9" t="n"/>
      <c r="G204" s="9" t="n"/>
      <c r="H204" s="9" t="n"/>
      <c r="I204" s="9" t="n"/>
      <c r="J204" s="9" t="n"/>
      <c r="K204" s="9" t="n"/>
    </row>
    <row r="205">
      <c r="A205" s="3" t="n">
        <v>203</v>
      </c>
      <c r="B205" s="4" t="n"/>
      <c r="C205" s="5" t="n"/>
      <c r="D205" s="5" t="n"/>
      <c r="E205" s="6" t="n"/>
      <c r="F205" s="5" t="n"/>
      <c r="G205" s="5" t="n"/>
      <c r="H205" s="5" t="n"/>
      <c r="I205" s="5" t="n"/>
      <c r="J205" s="5" t="n"/>
      <c r="K205" s="5" t="n"/>
    </row>
    <row r="206">
      <c r="A206" s="7" t="n">
        <v>204</v>
      </c>
      <c r="B206" s="8" t="n"/>
      <c r="C206" s="9" t="n"/>
      <c r="D206" s="9" t="n"/>
      <c r="E206" s="10" t="n"/>
      <c r="F206" s="9" t="n"/>
      <c r="G206" s="9" t="n"/>
      <c r="H206" s="9" t="n"/>
      <c r="I206" s="9" t="n"/>
      <c r="J206" s="9" t="n"/>
      <c r="K206" s="9" t="n"/>
    </row>
    <row r="207">
      <c r="A207" s="3" t="n">
        <v>205</v>
      </c>
      <c r="B207" s="4" t="n"/>
      <c r="C207" s="5" t="n"/>
      <c r="D207" s="5" t="n"/>
      <c r="E207" s="6" t="n"/>
      <c r="F207" s="5" t="n"/>
      <c r="G207" s="5" t="n"/>
      <c r="H207" s="5" t="n"/>
      <c r="I207" s="5" t="n"/>
      <c r="J207" s="5" t="n"/>
      <c r="K207" s="5" t="n"/>
    </row>
    <row r="208">
      <c r="A208" s="7" t="n">
        <v>206</v>
      </c>
      <c r="B208" s="8" t="n"/>
      <c r="C208" s="9" t="n"/>
      <c r="D208" s="9" t="n"/>
      <c r="E208" s="10" t="n"/>
      <c r="F208" s="9" t="n"/>
      <c r="G208" s="9" t="n"/>
      <c r="H208" s="9" t="n"/>
      <c r="I208" s="9" t="n"/>
      <c r="J208" s="9" t="n"/>
      <c r="K208" s="9" t="n"/>
    </row>
    <row r="209">
      <c r="A209" s="3" t="n">
        <v>207</v>
      </c>
      <c r="B209" s="4" t="n"/>
      <c r="C209" s="5" t="n"/>
      <c r="D209" s="5" t="n"/>
      <c r="E209" s="6" t="n"/>
      <c r="F209" s="5" t="n"/>
      <c r="G209" s="5" t="n"/>
      <c r="H209" s="5" t="n"/>
      <c r="I209" s="5" t="n"/>
      <c r="J209" s="5" t="n"/>
      <c r="K209" s="5" t="n"/>
    </row>
    <row r="210">
      <c r="A210" s="7" t="n">
        <v>208</v>
      </c>
      <c r="B210" s="8" t="n"/>
      <c r="C210" s="9" t="n"/>
      <c r="D210" s="9" t="n"/>
      <c r="E210" s="10" t="n"/>
      <c r="F210" s="9" t="n"/>
      <c r="G210" s="9" t="n"/>
      <c r="H210" s="9" t="n"/>
      <c r="I210" s="9" t="n"/>
      <c r="J210" s="9" t="n"/>
      <c r="K210" s="9" t="n"/>
    </row>
    <row r="211">
      <c r="A211" s="3" t="n">
        <v>209</v>
      </c>
      <c r="B211" s="4" t="n"/>
      <c r="C211" s="5" t="n"/>
      <c r="D211" s="5" t="n"/>
      <c r="E211" s="6" t="n"/>
      <c r="F211" s="5" t="n"/>
      <c r="G211" s="5" t="n"/>
      <c r="H211" s="5" t="n"/>
      <c r="I211" s="5" t="n"/>
      <c r="J211" s="5" t="n"/>
      <c r="K211" s="5" t="n"/>
    </row>
    <row r="212">
      <c r="A212" s="7" t="n">
        <v>210</v>
      </c>
      <c r="B212" s="8" t="n"/>
      <c r="C212" s="9" t="n"/>
      <c r="D212" s="9" t="n"/>
      <c r="E212" s="10" t="n"/>
      <c r="F212" s="9" t="n"/>
      <c r="G212" s="9" t="n"/>
      <c r="H212" s="9" t="n"/>
      <c r="I212" s="9" t="n"/>
      <c r="J212" s="9" t="n"/>
      <c r="K212" s="9" t="n"/>
    </row>
    <row r="213">
      <c r="A213" s="3" t="n">
        <v>211</v>
      </c>
      <c r="B213" s="4" t="n"/>
      <c r="C213" s="5" t="n"/>
      <c r="D213" s="5" t="n"/>
      <c r="E213" s="6" t="n"/>
      <c r="F213" s="5" t="n"/>
      <c r="G213" s="5" t="n"/>
      <c r="H213" s="5" t="n"/>
      <c r="I213" s="5" t="n"/>
      <c r="J213" s="5" t="n"/>
      <c r="K213" s="5" t="n"/>
    </row>
    <row r="214">
      <c r="A214" s="7" t="n">
        <v>212</v>
      </c>
      <c r="B214" s="8" t="n"/>
      <c r="C214" s="9" t="n"/>
      <c r="D214" s="9" t="n"/>
      <c r="E214" s="10" t="n"/>
      <c r="F214" s="9" t="n"/>
      <c r="G214" s="9" t="n"/>
      <c r="H214" s="9" t="n"/>
      <c r="I214" s="9" t="n"/>
      <c r="J214" s="9" t="n"/>
      <c r="K214" s="9" t="n"/>
    </row>
    <row r="215">
      <c r="A215" s="3" t="n">
        <v>213</v>
      </c>
      <c r="B215" s="4" t="n"/>
      <c r="C215" s="5" t="n"/>
      <c r="D215" s="5" t="n"/>
      <c r="E215" s="6" t="n"/>
      <c r="F215" s="5" t="n"/>
      <c r="G215" s="5" t="n"/>
      <c r="H215" s="5" t="n"/>
      <c r="I215" s="5" t="n"/>
      <c r="J215" s="5" t="n"/>
      <c r="K215" s="5" t="n"/>
    </row>
    <row r="216">
      <c r="A216" s="7" t="n">
        <v>214</v>
      </c>
      <c r="B216" s="8" t="n"/>
      <c r="C216" s="9" t="n"/>
      <c r="D216" s="9" t="n"/>
      <c r="E216" s="10" t="n"/>
      <c r="F216" s="9" t="n"/>
      <c r="G216" s="9" t="n"/>
      <c r="H216" s="9" t="n"/>
      <c r="I216" s="9" t="n"/>
      <c r="J216" s="9" t="n"/>
      <c r="K216" s="9" t="n"/>
    </row>
    <row r="217">
      <c r="A217" s="3" t="n">
        <v>215</v>
      </c>
      <c r="B217" s="4" t="n"/>
      <c r="C217" s="5" t="n"/>
      <c r="D217" s="5" t="n"/>
      <c r="E217" s="6" t="n"/>
      <c r="F217" s="5" t="n"/>
      <c r="G217" s="5" t="n"/>
      <c r="H217" s="5" t="n"/>
      <c r="I217" s="5" t="n"/>
      <c r="J217" s="5" t="n"/>
      <c r="K217" s="5" t="n"/>
    </row>
    <row r="218">
      <c r="A218" s="7" t="n">
        <v>216</v>
      </c>
      <c r="B218" s="8" t="n"/>
      <c r="C218" s="9" t="n"/>
      <c r="D218" s="9" t="n"/>
      <c r="E218" s="10" t="n"/>
      <c r="F218" s="9" t="n"/>
      <c r="G218" s="9" t="n"/>
      <c r="H218" s="9" t="n"/>
      <c r="I218" s="9" t="n"/>
      <c r="J218" s="9" t="n"/>
      <c r="K218" s="9" t="n"/>
    </row>
    <row r="219">
      <c r="A219" s="3" t="n">
        <v>217</v>
      </c>
      <c r="B219" s="4" t="n"/>
      <c r="C219" s="5" t="n"/>
      <c r="D219" s="5" t="n"/>
      <c r="E219" s="6" t="n"/>
      <c r="F219" s="5" t="n"/>
      <c r="G219" s="5" t="n"/>
      <c r="H219" s="5" t="n"/>
      <c r="I219" s="5" t="n"/>
      <c r="J219" s="5" t="n"/>
      <c r="K219" s="5" t="n"/>
    </row>
    <row r="220">
      <c r="A220" s="7" t="n">
        <v>218</v>
      </c>
      <c r="B220" s="8" t="n"/>
      <c r="C220" s="9" t="n"/>
      <c r="D220" s="9" t="n"/>
      <c r="E220" s="10" t="n"/>
      <c r="F220" s="9" t="n"/>
      <c r="G220" s="9" t="n"/>
      <c r="H220" s="9" t="n"/>
      <c r="I220" s="9" t="n"/>
      <c r="J220" s="9" t="n"/>
      <c r="K220" s="9" t="n"/>
    </row>
    <row r="221">
      <c r="A221" s="3" t="n">
        <v>219</v>
      </c>
      <c r="B221" s="4" t="n"/>
      <c r="C221" s="5" t="n"/>
      <c r="D221" s="5" t="n"/>
      <c r="E221" s="6" t="n"/>
      <c r="F221" s="5" t="n"/>
      <c r="G221" s="5" t="n"/>
      <c r="H221" s="5" t="n"/>
      <c r="I221" s="5" t="n"/>
      <c r="J221" s="5" t="n"/>
      <c r="K221" s="5" t="n"/>
    </row>
    <row r="222">
      <c r="A222" s="7" t="n">
        <v>220</v>
      </c>
      <c r="B222" s="8" t="n"/>
      <c r="C222" s="9" t="n"/>
      <c r="D222" s="9" t="n"/>
      <c r="E222" s="10" t="n"/>
      <c r="F222" s="9" t="n"/>
      <c r="G222" s="9" t="n"/>
      <c r="H222" s="9" t="n"/>
      <c r="I222" s="9" t="n"/>
      <c r="J222" s="9" t="n"/>
      <c r="K222" s="9" t="n"/>
    </row>
    <row r="223">
      <c r="A223" s="3" t="n">
        <v>221</v>
      </c>
      <c r="B223" s="4" t="n"/>
      <c r="C223" s="5" t="n"/>
      <c r="D223" s="5" t="n"/>
      <c r="E223" s="6" t="n"/>
      <c r="F223" s="5" t="n"/>
      <c r="G223" s="5" t="n"/>
      <c r="H223" s="5" t="n"/>
      <c r="I223" s="5" t="n"/>
      <c r="J223" s="5" t="n"/>
      <c r="K223" s="5" t="n"/>
    </row>
    <row r="224">
      <c r="A224" s="7" t="n">
        <v>222</v>
      </c>
      <c r="B224" s="8" t="n"/>
      <c r="C224" s="9" t="n"/>
      <c r="D224" s="9" t="n"/>
      <c r="E224" s="10" t="n"/>
      <c r="F224" s="9" t="n"/>
      <c r="G224" s="9" t="n"/>
      <c r="H224" s="9" t="n"/>
      <c r="I224" s="9" t="n"/>
      <c r="J224" s="9" t="n"/>
      <c r="K224" s="9" t="n"/>
    </row>
    <row r="225">
      <c r="A225" s="3" t="n">
        <v>223</v>
      </c>
      <c r="B225" s="4" t="n"/>
      <c r="C225" s="5" t="n"/>
      <c r="D225" s="5" t="n"/>
      <c r="E225" s="6" t="n"/>
      <c r="F225" s="5" t="n"/>
      <c r="G225" s="5" t="n"/>
      <c r="H225" s="5" t="n"/>
      <c r="I225" s="5" t="n"/>
      <c r="J225" s="5" t="n"/>
      <c r="K225" s="5" t="n"/>
    </row>
    <row r="226">
      <c r="A226" s="7" t="n">
        <v>224</v>
      </c>
      <c r="B226" s="8" t="n"/>
      <c r="C226" s="9" t="n"/>
      <c r="D226" s="9" t="n"/>
      <c r="E226" s="10" t="n"/>
      <c r="F226" s="9" t="n"/>
      <c r="G226" s="9" t="n"/>
      <c r="H226" s="9" t="n"/>
      <c r="I226" s="9" t="n"/>
      <c r="J226" s="9" t="n"/>
      <c r="K226" s="9" t="n"/>
    </row>
    <row r="227">
      <c r="A227" s="3" t="n">
        <v>225</v>
      </c>
      <c r="B227" s="4" t="n"/>
      <c r="C227" s="5" t="n"/>
      <c r="D227" s="5" t="n"/>
      <c r="E227" s="6" t="n"/>
      <c r="F227" s="5" t="n"/>
      <c r="G227" s="5" t="n"/>
      <c r="H227" s="5" t="n"/>
      <c r="I227" s="5" t="n"/>
      <c r="J227" s="5" t="n"/>
      <c r="K227" s="5" t="n"/>
    </row>
    <row r="228">
      <c r="A228" s="7" t="n">
        <v>226</v>
      </c>
      <c r="B228" s="8" t="n"/>
      <c r="C228" s="9" t="n"/>
      <c r="D228" s="9" t="n"/>
      <c r="E228" s="10" t="n"/>
      <c r="F228" s="9" t="n"/>
      <c r="G228" s="9" t="n"/>
      <c r="H228" s="9" t="n"/>
      <c r="I228" s="9" t="n"/>
      <c r="J228" s="9" t="n"/>
      <c r="K228" s="9" t="n"/>
    </row>
    <row r="229">
      <c r="A229" s="3" t="n">
        <v>227</v>
      </c>
      <c r="B229" s="4" t="n"/>
      <c r="C229" s="5" t="n"/>
      <c r="D229" s="5" t="n"/>
      <c r="E229" s="6" t="n"/>
      <c r="F229" s="5" t="n"/>
      <c r="G229" s="5" t="n"/>
      <c r="H229" s="5" t="n"/>
      <c r="I229" s="5" t="n"/>
      <c r="J229" s="5" t="n"/>
      <c r="K229" s="5" t="n"/>
    </row>
    <row r="230">
      <c r="A230" s="7" t="n">
        <v>228</v>
      </c>
      <c r="B230" s="8" t="n"/>
      <c r="C230" s="9" t="n"/>
      <c r="D230" s="9" t="n"/>
      <c r="E230" s="10" t="n"/>
      <c r="F230" s="9" t="n"/>
      <c r="G230" s="9" t="n"/>
      <c r="H230" s="9" t="n"/>
      <c r="I230" s="9" t="n"/>
      <c r="J230" s="9" t="n"/>
      <c r="K230" s="9" t="n"/>
    </row>
    <row r="231">
      <c r="A231" s="3" t="n">
        <v>229</v>
      </c>
      <c r="B231" s="4" t="n"/>
      <c r="C231" s="5" t="n"/>
      <c r="D231" s="5" t="n"/>
      <c r="E231" s="6" t="n"/>
      <c r="F231" s="5" t="n"/>
      <c r="G231" s="5" t="n"/>
      <c r="H231" s="5" t="n"/>
      <c r="I231" s="5" t="n"/>
      <c r="J231" s="5" t="n"/>
      <c r="K231" s="5" t="n"/>
    </row>
    <row r="232">
      <c r="A232" s="7" t="n">
        <v>230</v>
      </c>
      <c r="B232" s="8" t="n"/>
      <c r="C232" s="9" t="n"/>
      <c r="D232" s="9" t="n"/>
      <c r="E232" s="10" t="n"/>
      <c r="F232" s="9" t="n"/>
      <c r="G232" s="9" t="n"/>
      <c r="H232" s="9" t="n"/>
      <c r="I232" s="9" t="n"/>
      <c r="J232" s="9" t="n"/>
      <c r="K232" s="9" t="n"/>
    </row>
    <row r="233">
      <c r="A233" s="3" t="n">
        <v>231</v>
      </c>
      <c r="B233" s="4" t="n"/>
      <c r="C233" s="5" t="n"/>
      <c r="D233" s="5" t="n"/>
      <c r="E233" s="6" t="n"/>
      <c r="F233" s="5" t="n"/>
      <c r="G233" s="5" t="n"/>
      <c r="H233" s="5" t="n"/>
      <c r="I233" s="5" t="n"/>
      <c r="J233" s="5" t="n"/>
      <c r="K233" s="5" t="n"/>
    </row>
    <row r="234">
      <c r="A234" s="7" t="n">
        <v>232</v>
      </c>
      <c r="B234" s="8" t="n"/>
      <c r="C234" s="9" t="n"/>
      <c r="D234" s="9" t="n"/>
      <c r="E234" s="10" t="n"/>
      <c r="F234" s="9" t="n"/>
      <c r="G234" s="9" t="n"/>
      <c r="H234" s="9" t="n"/>
      <c r="I234" s="9" t="n"/>
      <c r="J234" s="9" t="n"/>
      <c r="K234" s="9" t="n"/>
    </row>
    <row r="235">
      <c r="A235" s="3" t="n">
        <v>233</v>
      </c>
      <c r="B235" s="4" t="n"/>
      <c r="C235" s="5" t="n"/>
      <c r="D235" s="5" t="n"/>
      <c r="E235" s="6" t="n"/>
      <c r="F235" s="5" t="n"/>
      <c r="G235" s="5" t="n"/>
      <c r="H235" s="5" t="n"/>
      <c r="I235" s="5" t="n"/>
      <c r="J235" s="5" t="n"/>
      <c r="K235" s="5" t="n"/>
    </row>
    <row r="236">
      <c r="A236" s="7" t="n">
        <v>234</v>
      </c>
      <c r="B236" s="8" t="n"/>
      <c r="C236" s="9" t="n"/>
      <c r="D236" s="9" t="n"/>
      <c r="E236" s="10" t="n"/>
      <c r="F236" s="9" t="n"/>
      <c r="G236" s="9" t="n"/>
      <c r="H236" s="9" t="n"/>
      <c r="I236" s="9" t="n"/>
      <c r="J236" s="9" t="n"/>
      <c r="K236" s="9" t="n"/>
    </row>
    <row r="237">
      <c r="A237" s="3" t="n">
        <v>235</v>
      </c>
      <c r="B237" s="4" t="n"/>
      <c r="C237" s="5" t="n"/>
      <c r="D237" s="5" t="n"/>
      <c r="E237" s="6" t="n"/>
      <c r="F237" s="5" t="n"/>
      <c r="G237" s="5" t="n"/>
      <c r="H237" s="5" t="n"/>
      <c r="I237" s="5" t="n"/>
      <c r="J237" s="5" t="n"/>
      <c r="K237" s="5" t="n"/>
    </row>
    <row r="238">
      <c r="A238" s="7" t="n">
        <v>236</v>
      </c>
      <c r="B238" s="8" t="n"/>
      <c r="C238" s="9" t="n"/>
      <c r="D238" s="9" t="n"/>
      <c r="E238" s="10" t="n"/>
      <c r="F238" s="9" t="n"/>
      <c r="G238" s="9" t="n"/>
      <c r="H238" s="9" t="n"/>
      <c r="I238" s="9" t="n"/>
      <c r="J238" s="9" t="n"/>
      <c r="K238" s="9" t="n"/>
    </row>
    <row r="239">
      <c r="A239" s="3" t="n">
        <v>237</v>
      </c>
      <c r="B239" s="4" t="n"/>
      <c r="C239" s="5" t="n"/>
      <c r="D239" s="5" t="n"/>
      <c r="E239" s="6" t="n"/>
      <c r="F239" s="5" t="n"/>
      <c r="G239" s="5" t="n"/>
      <c r="H239" s="5" t="n"/>
      <c r="I239" s="5" t="n"/>
      <c r="J239" s="5" t="n"/>
      <c r="K239" s="5" t="n"/>
    </row>
    <row r="240">
      <c r="A240" s="7" t="n">
        <v>238</v>
      </c>
      <c r="B240" s="8" t="n"/>
      <c r="C240" s="9" t="n"/>
      <c r="D240" s="9" t="n"/>
      <c r="E240" s="10" t="n"/>
      <c r="F240" s="9" t="n"/>
      <c r="G240" s="9" t="n"/>
      <c r="H240" s="9" t="n"/>
      <c r="I240" s="9" t="n"/>
      <c r="J240" s="9" t="n"/>
      <c r="K240" s="9" t="n"/>
    </row>
    <row r="241">
      <c r="A241" s="3" t="n">
        <v>239</v>
      </c>
      <c r="B241" s="4" t="n"/>
      <c r="C241" s="5" t="n"/>
      <c r="D241" s="5" t="n"/>
      <c r="E241" s="6" t="n"/>
      <c r="F241" s="5" t="n"/>
      <c r="G241" s="5" t="n"/>
      <c r="H241" s="5" t="n"/>
      <c r="I241" s="5" t="n"/>
      <c r="J241" s="5" t="n"/>
      <c r="K241" s="5" t="n"/>
    </row>
    <row r="242">
      <c r="A242" s="7" t="n">
        <v>240</v>
      </c>
      <c r="B242" s="8" t="n"/>
      <c r="C242" s="9" t="n"/>
      <c r="D242" s="9" t="n"/>
      <c r="E242" s="10" t="n"/>
      <c r="F242" s="9" t="n"/>
      <c r="G242" s="9" t="n"/>
      <c r="H242" s="9" t="n"/>
      <c r="I242" s="9" t="n"/>
      <c r="J242" s="9" t="n"/>
      <c r="K242" s="9" t="n"/>
    </row>
    <row r="243">
      <c r="A243" s="3" t="n">
        <v>241</v>
      </c>
      <c r="B243" s="4" t="n"/>
      <c r="C243" s="5" t="n"/>
      <c r="D243" s="5" t="n"/>
      <c r="E243" s="6" t="n"/>
      <c r="F243" s="5" t="n"/>
      <c r="G243" s="5" t="n"/>
      <c r="H243" s="5" t="n"/>
      <c r="I243" s="5" t="n"/>
      <c r="J243" s="5" t="n"/>
      <c r="K243" s="5" t="n"/>
    </row>
    <row r="244">
      <c r="A244" s="7" t="n">
        <v>242</v>
      </c>
      <c r="B244" s="8" t="n"/>
      <c r="C244" s="9" t="n"/>
      <c r="D244" s="9" t="n"/>
      <c r="E244" s="10" t="n"/>
      <c r="F244" s="9" t="n"/>
      <c r="G244" s="9" t="n"/>
      <c r="H244" s="9" t="n"/>
      <c r="I244" s="9" t="n"/>
      <c r="J244" s="9" t="n"/>
      <c r="K244" s="9" t="n"/>
    </row>
    <row r="245">
      <c r="A245" s="3" t="n">
        <v>243</v>
      </c>
      <c r="B245" s="4" t="n"/>
      <c r="C245" s="5" t="n"/>
      <c r="D245" s="5" t="n"/>
      <c r="E245" s="6" t="n"/>
      <c r="F245" s="5" t="n"/>
      <c r="G245" s="5" t="n"/>
      <c r="H245" s="5" t="n"/>
      <c r="I245" s="5" t="n"/>
      <c r="J245" s="5" t="n"/>
      <c r="K245" s="5" t="n"/>
    </row>
    <row r="246">
      <c r="A246" s="7" t="n">
        <v>244</v>
      </c>
      <c r="B246" s="8" t="n"/>
      <c r="C246" s="9" t="n"/>
      <c r="D246" s="9" t="n"/>
      <c r="E246" s="10" t="n"/>
      <c r="F246" s="9" t="n"/>
      <c r="G246" s="9" t="n"/>
      <c r="H246" s="9" t="n"/>
      <c r="I246" s="9" t="n"/>
      <c r="J246" s="9" t="n"/>
      <c r="K246" s="9" t="n"/>
    </row>
    <row r="247">
      <c r="A247" s="3" t="n">
        <v>245</v>
      </c>
      <c r="B247" s="4" t="n"/>
      <c r="C247" s="5" t="n"/>
      <c r="D247" s="5" t="n"/>
      <c r="E247" s="6" t="n"/>
      <c r="F247" s="5" t="n"/>
      <c r="G247" s="5" t="n"/>
      <c r="H247" s="5" t="n"/>
      <c r="I247" s="5" t="n"/>
      <c r="J247" s="5" t="n"/>
      <c r="K247" s="5" t="n"/>
    </row>
    <row r="248">
      <c r="A248" s="7" t="n">
        <v>246</v>
      </c>
      <c r="B248" s="8" t="n"/>
      <c r="C248" s="9" t="n"/>
      <c r="D248" s="9" t="n"/>
      <c r="E248" s="10" t="n"/>
      <c r="F248" s="9" t="n"/>
      <c r="G248" s="9" t="n"/>
      <c r="H248" s="9" t="n"/>
      <c r="I248" s="9" t="n"/>
      <c r="J248" s="9" t="n"/>
      <c r="K248" s="9" t="n"/>
    </row>
    <row r="249">
      <c r="A249" s="3" t="n">
        <v>247</v>
      </c>
      <c r="B249" s="4" t="n"/>
      <c r="C249" s="5" t="n"/>
      <c r="D249" s="5" t="n"/>
      <c r="E249" s="6" t="n"/>
      <c r="F249" s="5" t="n"/>
      <c r="G249" s="5" t="n"/>
      <c r="H249" s="5" t="n"/>
      <c r="I249" s="5" t="n"/>
      <c r="J249" s="5" t="n"/>
      <c r="K249" s="5" t="n"/>
    </row>
    <row r="250">
      <c r="A250" s="7" t="n">
        <v>248</v>
      </c>
      <c r="B250" s="8" t="n"/>
      <c r="C250" s="9" t="n"/>
      <c r="D250" s="9" t="n"/>
      <c r="E250" s="10" t="n"/>
      <c r="F250" s="9" t="n"/>
      <c r="G250" s="9" t="n"/>
      <c r="H250" s="9" t="n"/>
      <c r="I250" s="9" t="n"/>
      <c r="J250" s="9" t="n"/>
      <c r="K250" s="9" t="n"/>
    </row>
    <row r="251">
      <c r="A251" s="3" t="n">
        <v>249</v>
      </c>
      <c r="B251" s="4" t="n"/>
      <c r="C251" s="5" t="n"/>
      <c r="D251" s="5" t="n"/>
      <c r="E251" s="6" t="n"/>
      <c r="F251" s="5" t="n"/>
      <c r="G251" s="5" t="n"/>
      <c r="H251" s="5" t="n"/>
      <c r="I251" s="5" t="n"/>
      <c r="J251" s="5" t="n"/>
      <c r="K251" s="5" t="n"/>
    </row>
    <row r="252">
      <c r="A252" s="7" t="n">
        <v>250</v>
      </c>
      <c r="B252" s="8" t="n"/>
      <c r="C252" s="9" t="n"/>
      <c r="D252" s="9" t="n"/>
      <c r="E252" s="10" t="n"/>
      <c r="F252" s="9" t="n"/>
      <c r="G252" s="9" t="n"/>
      <c r="H252" s="9" t="n"/>
      <c r="I252" s="9" t="n"/>
      <c r="J252" s="9" t="n"/>
      <c r="K252" s="9" t="n"/>
    </row>
    <row r="253">
      <c r="A253" s="3" t="n">
        <v>251</v>
      </c>
      <c r="B253" s="4" t="n"/>
      <c r="C253" s="5" t="n"/>
      <c r="D253" s="5" t="n"/>
      <c r="E253" s="6" t="n"/>
      <c r="F253" s="5" t="n"/>
      <c r="G253" s="5" t="n"/>
      <c r="H253" s="5" t="n"/>
      <c r="I253" s="5" t="n"/>
      <c r="J253" s="5" t="n"/>
      <c r="K253" s="5" t="n"/>
    </row>
    <row r="254">
      <c r="A254" s="7" t="n">
        <v>252</v>
      </c>
      <c r="B254" s="8" t="n"/>
      <c r="C254" s="9" t="n"/>
      <c r="D254" s="9" t="n"/>
      <c r="E254" s="10" t="n"/>
      <c r="F254" s="9" t="n"/>
      <c r="G254" s="9" t="n"/>
      <c r="H254" s="9" t="n"/>
      <c r="I254" s="9" t="n"/>
      <c r="J254" s="9" t="n"/>
      <c r="K254" s="9" t="n"/>
    </row>
    <row r="255">
      <c r="A255" s="3" t="n">
        <v>253</v>
      </c>
      <c r="B255" s="4" t="n"/>
      <c r="C255" s="5" t="n"/>
      <c r="D255" s="5" t="n"/>
      <c r="E255" s="6" t="n"/>
      <c r="F255" s="5" t="n"/>
      <c r="G255" s="5" t="n"/>
      <c r="H255" s="5" t="n"/>
      <c r="I255" s="5" t="n"/>
      <c r="J255" s="5" t="n"/>
      <c r="K255" s="5" t="n"/>
    </row>
    <row r="256">
      <c r="A256" s="7" t="n">
        <v>254</v>
      </c>
      <c r="B256" s="8" t="n"/>
      <c r="C256" s="9" t="n"/>
      <c r="D256" s="9" t="n"/>
      <c r="E256" s="10" t="n"/>
      <c r="F256" s="9" t="n"/>
      <c r="G256" s="9" t="n"/>
      <c r="H256" s="9" t="n"/>
      <c r="I256" s="9" t="n"/>
      <c r="J256" s="9" t="n"/>
      <c r="K256" s="9" t="n"/>
    </row>
    <row r="257">
      <c r="A257" s="3" t="n">
        <v>255</v>
      </c>
      <c r="B257" s="4" t="n"/>
      <c r="C257" s="5" t="n"/>
      <c r="D257" s="5" t="n"/>
      <c r="E257" s="6" t="n"/>
      <c r="F257" s="5" t="n"/>
      <c r="G257" s="5" t="n"/>
      <c r="H257" s="5" t="n"/>
      <c r="I257" s="5" t="n"/>
      <c r="J257" s="5" t="n"/>
      <c r="K257" s="5" t="n"/>
    </row>
    <row r="258">
      <c r="A258" s="7" t="n">
        <v>256</v>
      </c>
      <c r="B258" s="8" t="n"/>
      <c r="C258" s="9" t="n"/>
      <c r="D258" s="9" t="n"/>
      <c r="E258" s="10" t="n"/>
      <c r="F258" s="9" t="n"/>
      <c r="G258" s="9" t="n"/>
      <c r="H258" s="9" t="n"/>
      <c r="I258" s="9" t="n"/>
      <c r="J258" s="9" t="n"/>
      <c r="K258" s="9" t="n"/>
    </row>
    <row r="259">
      <c r="A259" s="3" t="n">
        <v>257</v>
      </c>
      <c r="B259" s="4" t="n"/>
      <c r="C259" s="5" t="n"/>
      <c r="D259" s="5" t="n"/>
      <c r="E259" s="6" t="n"/>
      <c r="F259" s="5" t="n"/>
      <c r="G259" s="5" t="n"/>
      <c r="H259" s="5" t="n"/>
      <c r="I259" s="5" t="n"/>
      <c r="J259" s="5" t="n"/>
      <c r="K259" s="5" t="n"/>
    </row>
    <row r="260">
      <c r="A260" s="7" t="n">
        <v>258</v>
      </c>
      <c r="B260" s="8" t="n"/>
      <c r="C260" s="9" t="n"/>
      <c r="D260" s="9" t="n"/>
      <c r="E260" s="10" t="n"/>
      <c r="F260" s="9" t="n"/>
      <c r="G260" s="9" t="n"/>
      <c r="H260" s="9" t="n"/>
      <c r="I260" s="9" t="n"/>
      <c r="J260" s="9" t="n"/>
      <c r="K260" s="9" t="n"/>
    </row>
    <row r="261">
      <c r="A261" s="3" t="n">
        <v>259</v>
      </c>
      <c r="B261" s="4" t="n"/>
      <c r="C261" s="5" t="n"/>
      <c r="D261" s="5" t="n"/>
      <c r="E261" s="6" t="n"/>
      <c r="F261" s="5" t="n"/>
      <c r="G261" s="5" t="n"/>
      <c r="H261" s="5" t="n"/>
      <c r="I261" s="5" t="n"/>
      <c r="J261" s="5" t="n"/>
      <c r="K261" s="5" t="n"/>
    </row>
    <row r="262">
      <c r="A262" s="7" t="n">
        <v>260</v>
      </c>
      <c r="B262" s="8" t="n"/>
      <c r="C262" s="9" t="n"/>
      <c r="D262" s="9" t="n"/>
      <c r="E262" s="10" t="n"/>
      <c r="F262" s="9" t="n"/>
      <c r="G262" s="9" t="n"/>
      <c r="H262" s="9" t="n"/>
      <c r="I262" s="9" t="n"/>
      <c r="J262" s="9" t="n"/>
      <c r="K262" s="9" t="n"/>
    </row>
    <row r="263">
      <c r="A263" s="3" t="n">
        <v>261</v>
      </c>
      <c r="B263" s="4" t="n"/>
      <c r="C263" s="5" t="n"/>
      <c r="D263" s="5" t="n"/>
      <c r="E263" s="6" t="n"/>
      <c r="F263" s="5" t="n"/>
      <c r="G263" s="5" t="n"/>
      <c r="H263" s="5" t="n"/>
      <c r="I263" s="5" t="n"/>
      <c r="J263" s="5" t="n"/>
      <c r="K263" s="5" t="n"/>
    </row>
    <row r="264">
      <c r="A264" s="7" t="n">
        <v>262</v>
      </c>
      <c r="B264" s="8" t="n"/>
      <c r="C264" s="9" t="n"/>
      <c r="D264" s="9" t="n"/>
      <c r="E264" s="10" t="n"/>
      <c r="F264" s="9" t="n"/>
      <c r="G264" s="9" t="n"/>
      <c r="H264" s="9" t="n"/>
      <c r="I264" s="9" t="n"/>
      <c r="J264" s="9" t="n"/>
      <c r="K264" s="9" t="n"/>
    </row>
    <row r="265">
      <c r="A265" s="3" t="n">
        <v>263</v>
      </c>
      <c r="B265" s="4" t="n"/>
      <c r="C265" s="5" t="n"/>
      <c r="D265" s="5" t="n"/>
      <c r="E265" s="6" t="n"/>
      <c r="F265" s="5" t="n"/>
      <c r="G265" s="5" t="n"/>
      <c r="H265" s="5" t="n"/>
      <c r="I265" s="5" t="n"/>
      <c r="J265" s="5" t="n"/>
      <c r="K265" s="5" t="n"/>
    </row>
    <row r="266">
      <c r="A266" s="7" t="n">
        <v>264</v>
      </c>
      <c r="B266" s="8" t="n"/>
      <c r="C266" s="9" t="n"/>
      <c r="D266" s="9" t="n"/>
      <c r="E266" s="10" t="n"/>
      <c r="F266" s="9" t="n"/>
      <c r="G266" s="9" t="n"/>
      <c r="H266" s="9" t="n"/>
      <c r="I266" s="9" t="n"/>
      <c r="J266" s="9" t="n"/>
      <c r="K266" s="9" t="n"/>
    </row>
    <row r="267">
      <c r="A267" s="3" t="n">
        <v>265</v>
      </c>
      <c r="B267" s="4" t="n"/>
      <c r="C267" s="5" t="n"/>
      <c r="D267" s="5" t="n"/>
      <c r="E267" s="6" t="n"/>
      <c r="F267" s="5" t="n"/>
      <c r="G267" s="5" t="n"/>
      <c r="H267" s="5" t="n"/>
      <c r="I267" s="5" t="n"/>
      <c r="J267" s="5" t="n"/>
      <c r="K267" s="5" t="n"/>
    </row>
    <row r="268">
      <c r="A268" s="7" t="n">
        <v>266</v>
      </c>
      <c r="B268" s="8" t="n"/>
      <c r="C268" s="9" t="n"/>
      <c r="D268" s="9" t="n"/>
      <c r="E268" s="10" t="n"/>
      <c r="F268" s="9" t="n"/>
      <c r="G268" s="9" t="n"/>
      <c r="H268" s="9" t="n"/>
      <c r="I268" s="9" t="n"/>
      <c r="J268" s="9" t="n"/>
      <c r="K268" s="9" t="n"/>
    </row>
    <row r="269">
      <c r="A269" s="3" t="n">
        <v>267</v>
      </c>
      <c r="B269" s="4" t="n"/>
      <c r="C269" s="5" t="n"/>
      <c r="D269" s="5" t="n"/>
      <c r="E269" s="6" t="n"/>
      <c r="F269" s="5" t="n"/>
      <c r="G269" s="5" t="n"/>
      <c r="H269" s="5" t="n"/>
      <c r="I269" s="5" t="n"/>
      <c r="J269" s="5" t="n"/>
      <c r="K269" s="5" t="n"/>
    </row>
    <row r="270">
      <c r="A270" s="7" t="n">
        <v>268</v>
      </c>
      <c r="B270" s="8" t="n"/>
      <c r="C270" s="9" t="n"/>
      <c r="D270" s="9" t="n"/>
      <c r="E270" s="10" t="n"/>
      <c r="F270" s="9" t="n"/>
      <c r="G270" s="9" t="n"/>
      <c r="H270" s="9" t="n"/>
      <c r="I270" s="9" t="n"/>
      <c r="J270" s="9" t="n"/>
      <c r="K270" s="9" t="n"/>
    </row>
    <row r="271">
      <c r="A271" s="3" t="n">
        <v>269</v>
      </c>
      <c r="B271" s="4" t="n"/>
      <c r="C271" s="5" t="n"/>
      <c r="D271" s="5" t="n"/>
      <c r="E271" s="6" t="n"/>
      <c r="F271" s="5" t="n"/>
      <c r="G271" s="5" t="n"/>
      <c r="H271" s="5" t="n"/>
      <c r="I271" s="5" t="n"/>
      <c r="J271" s="5" t="n"/>
      <c r="K271" s="5" t="n"/>
    </row>
    <row r="272">
      <c r="A272" s="7" t="n">
        <v>270</v>
      </c>
      <c r="B272" s="8" t="n"/>
      <c r="C272" s="9" t="n"/>
      <c r="D272" s="9" t="n"/>
      <c r="E272" s="10" t="n"/>
      <c r="F272" s="9" t="n"/>
      <c r="G272" s="9" t="n"/>
      <c r="H272" s="9" t="n"/>
      <c r="I272" s="9" t="n"/>
      <c r="J272" s="9" t="n"/>
      <c r="K272" s="9" t="n"/>
    </row>
    <row r="273">
      <c r="A273" s="3" t="n">
        <v>271</v>
      </c>
      <c r="B273" s="4" t="n"/>
      <c r="C273" s="5" t="n"/>
      <c r="D273" s="5" t="n"/>
      <c r="E273" s="6" t="n"/>
      <c r="F273" s="5" t="n"/>
      <c r="G273" s="5" t="n"/>
      <c r="H273" s="5" t="n"/>
      <c r="I273" s="5" t="n"/>
      <c r="J273" s="5" t="n"/>
      <c r="K273" s="5" t="n"/>
    </row>
    <row r="274">
      <c r="A274" s="7" t="n">
        <v>272</v>
      </c>
      <c r="B274" s="8" t="n"/>
      <c r="C274" s="9" t="n"/>
      <c r="D274" s="9" t="n"/>
      <c r="E274" s="10" t="n"/>
      <c r="F274" s="9" t="n"/>
      <c r="G274" s="9" t="n"/>
      <c r="H274" s="9" t="n"/>
      <c r="I274" s="9" t="n"/>
      <c r="J274" s="9" t="n"/>
      <c r="K274" s="9" t="n"/>
    </row>
    <row r="275">
      <c r="A275" s="3" t="n">
        <v>273</v>
      </c>
      <c r="B275" s="4" t="n"/>
      <c r="C275" s="5" t="n"/>
      <c r="D275" s="5" t="n"/>
      <c r="E275" s="6" t="n"/>
      <c r="F275" s="5" t="n"/>
      <c r="G275" s="5" t="n"/>
      <c r="H275" s="5" t="n"/>
      <c r="I275" s="5" t="n"/>
      <c r="J275" s="5" t="n"/>
      <c r="K275" s="5" t="n"/>
    </row>
    <row r="276">
      <c r="A276" s="7" t="n">
        <v>274</v>
      </c>
      <c r="B276" s="8" t="n"/>
      <c r="C276" s="9" t="n"/>
      <c r="D276" s="9" t="n"/>
      <c r="E276" s="10" t="n"/>
      <c r="F276" s="9" t="n"/>
      <c r="G276" s="9" t="n"/>
      <c r="H276" s="9" t="n"/>
      <c r="I276" s="9" t="n"/>
      <c r="J276" s="9" t="n"/>
      <c r="K276" s="9" t="n"/>
    </row>
    <row r="277">
      <c r="A277" s="3" t="n">
        <v>275</v>
      </c>
      <c r="B277" s="4" t="n"/>
      <c r="C277" s="5" t="n"/>
      <c r="D277" s="5" t="n"/>
      <c r="E277" s="6" t="n"/>
      <c r="F277" s="5" t="n"/>
      <c r="G277" s="5" t="n"/>
      <c r="H277" s="5" t="n"/>
      <c r="I277" s="5" t="n"/>
      <c r="J277" s="5" t="n"/>
      <c r="K277" s="5" t="n"/>
    </row>
    <row r="278">
      <c r="A278" s="7" t="n">
        <v>276</v>
      </c>
      <c r="B278" s="8" t="n"/>
      <c r="C278" s="9" t="n"/>
      <c r="D278" s="9" t="n"/>
      <c r="E278" s="10" t="n"/>
      <c r="F278" s="9" t="n"/>
      <c r="G278" s="9" t="n"/>
      <c r="H278" s="9" t="n"/>
      <c r="I278" s="9" t="n"/>
      <c r="J278" s="9" t="n"/>
      <c r="K278" s="9" t="n"/>
    </row>
    <row r="279">
      <c r="A279" s="3" t="n">
        <v>277</v>
      </c>
      <c r="B279" s="4" t="n"/>
      <c r="C279" s="5" t="n"/>
      <c r="D279" s="5" t="n"/>
      <c r="E279" s="6" t="n"/>
      <c r="F279" s="5" t="n"/>
      <c r="G279" s="5" t="n"/>
      <c r="H279" s="5" t="n"/>
      <c r="I279" s="5" t="n"/>
      <c r="J279" s="5" t="n"/>
      <c r="K279" s="5" t="n"/>
    </row>
    <row r="280">
      <c r="A280" s="7" t="n">
        <v>278</v>
      </c>
      <c r="B280" s="8" t="n"/>
      <c r="C280" s="9" t="n"/>
      <c r="D280" s="9" t="n"/>
      <c r="E280" s="10" t="n"/>
      <c r="F280" s="9" t="n"/>
      <c r="G280" s="9" t="n"/>
      <c r="H280" s="9" t="n"/>
      <c r="I280" s="9" t="n"/>
      <c r="J280" s="9" t="n"/>
      <c r="K280" s="9" t="n"/>
    </row>
    <row r="281">
      <c r="A281" s="3" t="n">
        <v>279</v>
      </c>
      <c r="B281" s="4" t="n"/>
      <c r="C281" s="5" t="n"/>
      <c r="D281" s="5" t="n"/>
      <c r="E281" s="6" t="n"/>
      <c r="F281" s="5" t="n"/>
      <c r="G281" s="5" t="n"/>
      <c r="H281" s="5" t="n"/>
      <c r="I281" s="5" t="n"/>
      <c r="J281" s="5" t="n"/>
      <c r="K281" s="5" t="n"/>
    </row>
    <row r="282">
      <c r="A282" s="7" t="n">
        <v>280</v>
      </c>
      <c r="B282" s="8" t="n"/>
      <c r="C282" s="9" t="n"/>
      <c r="D282" s="9" t="n"/>
      <c r="E282" s="10" t="n"/>
      <c r="F282" s="9" t="n"/>
      <c r="G282" s="9" t="n"/>
      <c r="H282" s="9" t="n"/>
      <c r="I282" s="9" t="n"/>
      <c r="J282" s="9" t="n"/>
      <c r="K282" s="9" t="n"/>
    </row>
    <row r="283">
      <c r="A283" s="3" t="n">
        <v>281</v>
      </c>
      <c r="B283" s="4" t="n"/>
      <c r="C283" s="5" t="n"/>
      <c r="D283" s="5" t="n"/>
      <c r="E283" s="6" t="n"/>
      <c r="F283" s="5" t="n"/>
      <c r="G283" s="5" t="n"/>
      <c r="H283" s="5" t="n"/>
      <c r="I283" s="5" t="n"/>
      <c r="J283" s="5" t="n"/>
      <c r="K283" s="5" t="n"/>
    </row>
    <row r="284">
      <c r="A284" s="7" t="n">
        <v>282</v>
      </c>
      <c r="B284" s="8" t="n"/>
      <c r="C284" s="9" t="n"/>
      <c r="D284" s="9" t="n"/>
      <c r="E284" s="10" t="n"/>
      <c r="F284" s="9" t="n"/>
      <c r="G284" s="9" t="n"/>
      <c r="H284" s="9" t="n"/>
      <c r="I284" s="9" t="n"/>
      <c r="J284" s="9" t="n"/>
      <c r="K284" s="9" t="n"/>
    </row>
    <row r="285">
      <c r="A285" s="3" t="n">
        <v>283</v>
      </c>
      <c r="B285" s="4" t="n"/>
      <c r="C285" s="5" t="n"/>
      <c r="D285" s="5" t="n"/>
      <c r="E285" s="6" t="n"/>
      <c r="F285" s="5" t="n"/>
      <c r="G285" s="5" t="n"/>
      <c r="H285" s="5" t="n"/>
      <c r="I285" s="5" t="n"/>
      <c r="J285" s="5" t="n"/>
      <c r="K285" s="5" t="n"/>
    </row>
    <row r="286">
      <c r="A286" s="7" t="n">
        <v>284</v>
      </c>
      <c r="B286" s="8" t="n"/>
      <c r="C286" s="9" t="n"/>
      <c r="D286" s="9" t="n"/>
      <c r="E286" s="10" t="n"/>
      <c r="F286" s="9" t="n"/>
      <c r="G286" s="9" t="n"/>
      <c r="H286" s="9" t="n"/>
      <c r="I286" s="9" t="n"/>
      <c r="J286" s="9" t="n"/>
      <c r="K286" s="9" t="n"/>
    </row>
    <row r="287">
      <c r="A287" s="3" t="n">
        <v>285</v>
      </c>
      <c r="B287" s="4" t="n"/>
      <c r="C287" s="5" t="n"/>
      <c r="D287" s="5" t="n"/>
      <c r="E287" s="6" t="n"/>
      <c r="F287" s="5" t="n"/>
      <c r="G287" s="5" t="n"/>
      <c r="H287" s="5" t="n"/>
      <c r="I287" s="5" t="n"/>
      <c r="J287" s="5" t="n"/>
      <c r="K287" s="5" t="n"/>
    </row>
    <row r="288">
      <c r="A288" s="7" t="n">
        <v>286</v>
      </c>
      <c r="B288" s="8" t="n"/>
      <c r="C288" s="9" t="n"/>
      <c r="D288" s="9" t="n"/>
      <c r="E288" s="10" t="n"/>
      <c r="F288" s="9" t="n"/>
      <c r="G288" s="9" t="n"/>
      <c r="H288" s="9" t="n"/>
      <c r="I288" s="9" t="n"/>
      <c r="J288" s="9" t="n"/>
      <c r="K288" s="9" t="n"/>
    </row>
    <row r="289">
      <c r="A289" s="3" t="n">
        <v>287</v>
      </c>
      <c r="B289" s="4" t="n"/>
      <c r="C289" s="5" t="n"/>
      <c r="D289" s="5" t="n"/>
      <c r="E289" s="6" t="n"/>
      <c r="F289" s="5" t="n"/>
      <c r="G289" s="5" t="n"/>
      <c r="H289" s="5" t="n"/>
      <c r="I289" s="5" t="n"/>
      <c r="J289" s="5" t="n"/>
      <c r="K289" s="5" t="n"/>
    </row>
    <row r="290">
      <c r="A290" s="7" t="n">
        <v>288</v>
      </c>
      <c r="B290" s="8" t="n"/>
      <c r="C290" s="9" t="n"/>
      <c r="D290" s="9" t="n"/>
      <c r="E290" s="10" t="n"/>
      <c r="F290" s="9" t="n"/>
      <c r="G290" s="9" t="n"/>
      <c r="H290" s="9" t="n"/>
      <c r="I290" s="9" t="n"/>
      <c r="J290" s="9" t="n"/>
      <c r="K290" s="9" t="n"/>
    </row>
    <row r="291">
      <c r="A291" s="3" t="n">
        <v>289</v>
      </c>
      <c r="B291" s="4" t="n"/>
      <c r="C291" s="5" t="n"/>
      <c r="D291" s="5" t="n"/>
      <c r="E291" s="6" t="n"/>
      <c r="F291" s="5" t="n"/>
      <c r="G291" s="5" t="n"/>
      <c r="H291" s="5" t="n"/>
      <c r="I291" s="5" t="n"/>
      <c r="J291" s="5" t="n"/>
      <c r="K291" s="5" t="n"/>
    </row>
    <row r="292">
      <c r="A292" s="7" t="n">
        <v>290</v>
      </c>
      <c r="B292" s="8" t="n"/>
      <c r="C292" s="9" t="n"/>
      <c r="D292" s="9" t="n"/>
      <c r="E292" s="10" t="n"/>
      <c r="F292" s="9" t="n"/>
      <c r="G292" s="9" t="n"/>
      <c r="H292" s="9" t="n"/>
      <c r="I292" s="9" t="n"/>
      <c r="J292" s="9" t="n"/>
      <c r="K292" s="9" t="n"/>
    </row>
    <row r="293">
      <c r="A293" s="3" t="n">
        <v>291</v>
      </c>
      <c r="B293" s="4" t="n"/>
      <c r="C293" s="5" t="n"/>
      <c r="D293" s="5" t="n"/>
      <c r="E293" s="6" t="n"/>
      <c r="F293" s="5" t="n"/>
      <c r="G293" s="5" t="n"/>
      <c r="H293" s="5" t="n"/>
      <c r="I293" s="5" t="n"/>
      <c r="J293" s="5" t="n"/>
      <c r="K293" s="5" t="n"/>
    </row>
    <row r="294">
      <c r="A294" s="7" t="n">
        <v>292</v>
      </c>
      <c r="B294" s="8" t="n"/>
      <c r="C294" s="9" t="n"/>
      <c r="D294" s="9" t="n"/>
      <c r="E294" s="10" t="n"/>
      <c r="F294" s="9" t="n"/>
      <c r="G294" s="9" t="n"/>
      <c r="H294" s="9" t="n"/>
      <c r="I294" s="9" t="n"/>
      <c r="J294" s="9" t="n"/>
      <c r="K294" s="9" t="n"/>
    </row>
    <row r="295">
      <c r="A295" s="3" t="n">
        <v>293</v>
      </c>
      <c r="B295" s="4" t="n"/>
      <c r="C295" s="5" t="n"/>
      <c r="D295" s="5" t="n"/>
      <c r="E295" s="6" t="n"/>
      <c r="F295" s="5" t="n"/>
      <c r="G295" s="5" t="n"/>
      <c r="H295" s="5" t="n"/>
      <c r="I295" s="5" t="n"/>
      <c r="J295" s="5" t="n"/>
      <c r="K295" s="5" t="n"/>
    </row>
    <row r="296">
      <c r="A296" s="7" t="n">
        <v>294</v>
      </c>
      <c r="B296" s="8" t="n"/>
      <c r="C296" s="9" t="n"/>
      <c r="D296" s="9" t="n"/>
      <c r="E296" s="10" t="n"/>
      <c r="F296" s="9" t="n"/>
      <c r="G296" s="9" t="n"/>
      <c r="H296" s="9" t="n"/>
      <c r="I296" s="9" t="n"/>
      <c r="J296" s="9" t="n"/>
      <c r="K296" s="9" t="n"/>
    </row>
    <row r="297">
      <c r="A297" s="3" t="n">
        <v>295</v>
      </c>
      <c r="B297" s="4" t="n"/>
      <c r="C297" s="5" t="n"/>
      <c r="D297" s="5" t="n"/>
      <c r="E297" s="6" t="n"/>
      <c r="F297" s="5" t="n"/>
      <c r="G297" s="5" t="n"/>
      <c r="H297" s="5" t="n"/>
      <c r="I297" s="5" t="n"/>
      <c r="J297" s="5" t="n"/>
      <c r="K297" s="5" t="n"/>
    </row>
    <row r="298">
      <c r="A298" s="7" t="n">
        <v>296</v>
      </c>
      <c r="B298" s="8" t="n"/>
      <c r="C298" s="9" t="n"/>
      <c r="D298" s="9" t="n"/>
      <c r="E298" s="10" t="n"/>
      <c r="F298" s="9" t="n"/>
      <c r="G298" s="9" t="n"/>
      <c r="H298" s="9" t="n"/>
      <c r="I298" s="9" t="n"/>
      <c r="J298" s="9" t="n"/>
      <c r="K298" s="9" t="n"/>
    </row>
    <row r="299">
      <c r="A299" s="3" t="n">
        <v>297</v>
      </c>
      <c r="B299" s="4" t="n"/>
      <c r="C299" s="5" t="n"/>
      <c r="D299" s="5" t="n"/>
      <c r="E299" s="6" t="n"/>
      <c r="F299" s="5" t="n"/>
      <c r="G299" s="5" t="n"/>
      <c r="H299" s="5" t="n"/>
      <c r="I299" s="5" t="n"/>
      <c r="J299" s="5" t="n"/>
      <c r="K299" s="5" t="n"/>
    </row>
    <row r="300">
      <c r="A300" s="7" t="n">
        <v>298</v>
      </c>
      <c r="B300" s="8" t="n"/>
      <c r="C300" s="9" t="n"/>
      <c r="D300" s="9" t="n"/>
      <c r="E300" s="10" t="n"/>
      <c r="F300" s="9" t="n"/>
      <c r="G300" s="9" t="n"/>
      <c r="H300" s="9" t="n"/>
      <c r="I300" s="9" t="n"/>
      <c r="J300" s="9" t="n"/>
      <c r="K300" s="9" t="n"/>
    </row>
    <row r="301">
      <c r="A301" s="3" t="n">
        <v>299</v>
      </c>
      <c r="B301" s="4" t="n"/>
      <c r="C301" s="5" t="n"/>
      <c r="D301" s="5" t="n"/>
      <c r="E301" s="6" t="n"/>
      <c r="F301" s="5" t="n"/>
      <c r="G301" s="5" t="n"/>
      <c r="H301" s="5" t="n"/>
      <c r="I301" s="5" t="n"/>
      <c r="J301" s="5" t="n"/>
      <c r="K301" s="5" t="n"/>
    </row>
    <row r="302">
      <c r="A302" s="7" t="n">
        <v>300</v>
      </c>
      <c r="B302" s="8" t="n"/>
      <c r="C302" s="9" t="n"/>
      <c r="D302" s="9" t="n"/>
      <c r="E302" s="10" t="n"/>
      <c r="F302" s="9" t="n"/>
      <c r="G302" s="9" t="n"/>
      <c r="H302" s="9" t="n"/>
      <c r="I302" s="9" t="n"/>
      <c r="J302" s="9" t="n"/>
      <c r="K302" s="9" t="n"/>
    </row>
    <row r="303">
      <c r="A303" s="3" t="n">
        <v>301</v>
      </c>
      <c r="B303" s="4" t="n"/>
      <c r="C303" s="5" t="n"/>
      <c r="D303" s="5" t="n"/>
      <c r="E303" s="6" t="n"/>
      <c r="F303" s="5" t="n"/>
      <c r="G303" s="5" t="n"/>
      <c r="H303" s="5" t="n"/>
      <c r="I303" s="5" t="n"/>
      <c r="J303" s="5" t="n"/>
      <c r="K303" s="5" t="n"/>
    </row>
    <row r="304">
      <c r="A304" s="7" t="n">
        <v>302</v>
      </c>
      <c r="B304" s="8" t="n"/>
      <c r="C304" s="9" t="n"/>
      <c r="D304" s="9" t="n"/>
      <c r="E304" s="10" t="n"/>
      <c r="F304" s="9" t="n"/>
      <c r="G304" s="9" t="n"/>
      <c r="H304" s="9" t="n"/>
      <c r="I304" s="9" t="n"/>
      <c r="J304" s="9" t="n"/>
      <c r="K304" s="9" t="n"/>
    </row>
    <row r="305">
      <c r="A305" s="3" t="n">
        <v>303</v>
      </c>
      <c r="B305" s="4" t="n"/>
      <c r="C305" s="5" t="n"/>
      <c r="D305" s="5" t="n"/>
      <c r="E305" s="6" t="n"/>
      <c r="F305" s="5" t="n"/>
      <c r="G305" s="5" t="n"/>
      <c r="H305" s="5" t="n"/>
      <c r="I305" s="5" t="n"/>
      <c r="J305" s="5" t="n"/>
      <c r="K305" s="5" t="n"/>
    </row>
    <row r="306">
      <c r="A306" s="7" t="n">
        <v>304</v>
      </c>
      <c r="B306" s="8" t="n"/>
      <c r="C306" s="9" t="n"/>
      <c r="D306" s="9" t="n"/>
      <c r="E306" s="10" t="n"/>
      <c r="F306" s="9" t="n"/>
      <c r="G306" s="9" t="n"/>
      <c r="H306" s="9" t="n"/>
      <c r="I306" s="9" t="n"/>
      <c r="J306" s="9" t="n"/>
      <c r="K306" s="9" t="n"/>
    </row>
    <row r="307">
      <c r="A307" s="3" t="n">
        <v>305</v>
      </c>
      <c r="B307" s="4" t="n"/>
      <c r="C307" s="5" t="n"/>
      <c r="D307" s="5" t="n"/>
      <c r="E307" s="6" t="n"/>
      <c r="F307" s="5" t="n"/>
      <c r="G307" s="5" t="n"/>
      <c r="H307" s="5" t="n"/>
      <c r="I307" s="5" t="n"/>
      <c r="J307" s="5" t="n"/>
      <c r="K307" s="5" t="n"/>
    </row>
    <row r="308">
      <c r="A308" s="7" t="n">
        <v>306</v>
      </c>
      <c r="B308" s="8" t="n"/>
      <c r="C308" s="9" t="n"/>
      <c r="D308" s="9" t="n"/>
      <c r="E308" s="10" t="n"/>
      <c r="F308" s="9" t="n"/>
      <c r="G308" s="9" t="n"/>
      <c r="H308" s="9" t="n"/>
      <c r="I308" s="9" t="n"/>
      <c r="J308" s="9" t="n"/>
      <c r="K308" s="9" t="n"/>
    </row>
    <row r="309">
      <c r="A309" s="3" t="n">
        <v>307</v>
      </c>
      <c r="B309" s="4" t="n"/>
      <c r="C309" s="5" t="n"/>
      <c r="D309" s="5" t="n"/>
      <c r="E309" s="6" t="n"/>
      <c r="F309" s="5" t="n"/>
      <c r="G309" s="5" t="n"/>
      <c r="H309" s="5" t="n"/>
      <c r="I309" s="5" t="n"/>
      <c r="J309" s="5" t="n"/>
      <c r="K309" s="5" t="n"/>
    </row>
    <row r="310">
      <c r="A310" s="7" t="n">
        <v>308</v>
      </c>
      <c r="B310" s="8" t="n"/>
      <c r="C310" s="9" t="n"/>
      <c r="D310" s="9" t="n"/>
      <c r="E310" s="10" t="n"/>
      <c r="F310" s="9" t="n"/>
      <c r="G310" s="9" t="n"/>
      <c r="H310" s="9" t="n"/>
      <c r="I310" s="9" t="n"/>
      <c r="J310" s="9" t="n"/>
      <c r="K310" s="9" t="n"/>
    </row>
    <row r="311">
      <c r="A311" s="3" t="n">
        <v>309</v>
      </c>
      <c r="B311" s="4" t="n"/>
      <c r="C311" s="5" t="n"/>
      <c r="D311" s="5" t="n"/>
      <c r="E311" s="6" t="n"/>
      <c r="F311" s="5" t="n"/>
      <c r="G311" s="5" t="n"/>
      <c r="H311" s="5" t="n"/>
      <c r="I311" s="5" t="n"/>
      <c r="J311" s="5" t="n"/>
      <c r="K311" s="5" t="n"/>
    </row>
    <row r="312">
      <c r="A312" s="7" t="n">
        <v>310</v>
      </c>
      <c r="B312" s="8" t="n"/>
      <c r="C312" s="9" t="n"/>
      <c r="D312" s="9" t="n"/>
      <c r="E312" s="10" t="n"/>
      <c r="F312" s="9" t="n"/>
      <c r="G312" s="9" t="n"/>
      <c r="H312" s="9" t="n"/>
      <c r="I312" s="9" t="n"/>
      <c r="J312" s="9" t="n"/>
      <c r="K312" s="9" t="n"/>
    </row>
    <row r="313">
      <c r="A313" s="3" t="n">
        <v>311</v>
      </c>
      <c r="B313" s="4" t="n"/>
      <c r="C313" s="5" t="n"/>
      <c r="D313" s="5" t="n"/>
      <c r="E313" s="6" t="n"/>
      <c r="F313" s="5" t="n"/>
      <c r="G313" s="5" t="n"/>
      <c r="H313" s="5" t="n"/>
      <c r="I313" s="5" t="n"/>
      <c r="J313" s="5" t="n"/>
      <c r="K313" s="5" t="n"/>
    </row>
    <row r="314">
      <c r="A314" s="7" t="n">
        <v>312</v>
      </c>
      <c r="B314" s="8" t="n"/>
      <c r="C314" s="9" t="n"/>
      <c r="D314" s="9" t="n"/>
      <c r="E314" s="10" t="n"/>
      <c r="F314" s="9" t="n"/>
      <c r="G314" s="9" t="n"/>
      <c r="H314" s="9" t="n"/>
      <c r="I314" s="9" t="n"/>
      <c r="J314" s="9" t="n"/>
      <c r="K314" s="9" t="n"/>
    </row>
    <row r="315">
      <c r="A315" s="3" t="n">
        <v>313</v>
      </c>
      <c r="B315" s="4" t="n"/>
      <c r="C315" s="5" t="n"/>
      <c r="D315" s="5" t="n"/>
      <c r="E315" s="6" t="n"/>
      <c r="F315" s="5" t="n"/>
      <c r="G315" s="5" t="n"/>
      <c r="H315" s="5" t="n"/>
      <c r="I315" s="5" t="n"/>
      <c r="J315" s="5" t="n"/>
      <c r="K315" s="5" t="n"/>
    </row>
    <row r="316">
      <c r="A316" s="7" t="n">
        <v>314</v>
      </c>
      <c r="B316" s="8" t="n"/>
      <c r="C316" s="9" t="n"/>
      <c r="D316" s="9" t="n"/>
      <c r="E316" s="10" t="n"/>
      <c r="F316" s="9" t="n"/>
      <c r="G316" s="9" t="n"/>
      <c r="H316" s="9" t="n"/>
      <c r="I316" s="9" t="n"/>
      <c r="J316" s="9" t="n"/>
      <c r="K316" s="9" t="n"/>
    </row>
    <row r="317">
      <c r="A317" s="3" t="n">
        <v>315</v>
      </c>
      <c r="B317" s="4" t="n"/>
      <c r="C317" s="5" t="n"/>
      <c r="D317" s="5" t="n"/>
      <c r="E317" s="6" t="n"/>
      <c r="F317" s="5" t="n"/>
      <c r="G317" s="5" t="n"/>
      <c r="H317" s="5" t="n"/>
      <c r="I317" s="5" t="n"/>
      <c r="J317" s="5" t="n"/>
      <c r="K317" s="5" t="n"/>
    </row>
    <row r="318">
      <c r="A318" s="7" t="n">
        <v>316</v>
      </c>
      <c r="B318" s="8" t="n"/>
      <c r="C318" s="9" t="n"/>
      <c r="D318" s="9" t="n"/>
      <c r="E318" s="10" t="n"/>
      <c r="F318" s="9" t="n"/>
      <c r="G318" s="9" t="n"/>
      <c r="H318" s="9" t="n"/>
      <c r="I318" s="9" t="n"/>
      <c r="J318" s="9" t="n"/>
      <c r="K318" s="9" t="n"/>
    </row>
    <row r="319">
      <c r="A319" s="3" t="n">
        <v>317</v>
      </c>
      <c r="B319" s="4" t="n"/>
      <c r="C319" s="5" t="n"/>
      <c r="D319" s="5" t="n"/>
      <c r="E319" s="6" t="n"/>
      <c r="F319" s="5" t="n"/>
      <c r="G319" s="5" t="n"/>
      <c r="H319" s="5" t="n"/>
      <c r="I319" s="5" t="n"/>
      <c r="J319" s="5" t="n"/>
      <c r="K319" s="5" t="n"/>
    </row>
    <row r="320">
      <c r="A320" s="7" t="n">
        <v>318</v>
      </c>
      <c r="B320" s="8" t="n"/>
      <c r="C320" s="9" t="n"/>
      <c r="D320" s="9" t="n"/>
      <c r="E320" s="10" t="n"/>
      <c r="F320" s="9" t="n"/>
      <c r="G320" s="9" t="n"/>
      <c r="H320" s="9" t="n"/>
      <c r="I320" s="9" t="n"/>
      <c r="J320" s="9" t="n"/>
      <c r="K320" s="9" t="n"/>
    </row>
    <row r="321">
      <c r="A321" s="3" t="n">
        <v>319</v>
      </c>
      <c r="B321" s="4" t="n"/>
      <c r="C321" s="5" t="n"/>
      <c r="D321" s="5" t="n"/>
      <c r="E321" s="6" t="n"/>
      <c r="F321" s="5" t="n"/>
      <c r="G321" s="5" t="n"/>
      <c r="H321" s="5" t="n"/>
      <c r="I321" s="5" t="n"/>
      <c r="J321" s="5" t="n"/>
      <c r="K321" s="5" t="n"/>
    </row>
    <row r="322">
      <c r="A322" s="7" t="n">
        <v>320</v>
      </c>
      <c r="B322" s="8" t="n"/>
      <c r="C322" s="9" t="n"/>
      <c r="D322" s="9" t="n"/>
      <c r="E322" s="10" t="n"/>
      <c r="F322" s="9" t="n"/>
      <c r="G322" s="9" t="n"/>
      <c r="H322" s="9" t="n"/>
      <c r="I322" s="9" t="n"/>
      <c r="J322" s="9" t="n"/>
      <c r="K322" s="9" t="n"/>
    </row>
    <row r="323">
      <c r="A323" s="3" t="n">
        <v>321</v>
      </c>
      <c r="B323" s="4" t="n"/>
      <c r="C323" s="5" t="n"/>
      <c r="D323" s="5" t="n"/>
      <c r="E323" s="6" t="n"/>
      <c r="F323" s="5" t="n"/>
      <c r="G323" s="5" t="n"/>
      <c r="H323" s="5" t="n"/>
      <c r="I323" s="5" t="n"/>
      <c r="J323" s="5" t="n"/>
      <c r="K323" s="5" t="n"/>
    </row>
    <row r="324">
      <c r="A324" s="7" t="n">
        <v>322</v>
      </c>
      <c r="B324" s="8" t="n"/>
      <c r="C324" s="9" t="n"/>
      <c r="D324" s="9" t="n"/>
      <c r="E324" s="10" t="n"/>
      <c r="F324" s="9" t="n"/>
      <c r="G324" s="9" t="n"/>
      <c r="H324" s="9" t="n"/>
      <c r="I324" s="9" t="n"/>
      <c r="J324" s="9" t="n"/>
      <c r="K324" s="9" t="n"/>
    </row>
    <row r="325">
      <c r="A325" s="3" t="n">
        <v>323</v>
      </c>
      <c r="B325" s="4" t="n"/>
      <c r="C325" s="5" t="n"/>
      <c r="D325" s="5" t="n"/>
      <c r="E325" s="6" t="n"/>
      <c r="F325" s="5" t="n"/>
      <c r="G325" s="5" t="n"/>
      <c r="H325" s="5" t="n"/>
      <c r="I325" s="5" t="n"/>
      <c r="J325" s="5" t="n"/>
      <c r="K325" s="5" t="n"/>
    </row>
    <row r="326">
      <c r="A326" s="7" t="n">
        <v>324</v>
      </c>
      <c r="B326" s="8" t="n"/>
      <c r="C326" s="9" t="n"/>
      <c r="D326" s="9" t="n"/>
      <c r="E326" s="10" t="n"/>
      <c r="F326" s="9" t="n"/>
      <c r="G326" s="9" t="n"/>
      <c r="H326" s="9" t="n"/>
      <c r="I326" s="9" t="n"/>
      <c r="J326" s="9" t="n"/>
      <c r="K326" s="9" t="n"/>
    </row>
    <row r="327">
      <c r="A327" s="3" t="n">
        <v>325</v>
      </c>
      <c r="B327" s="4" t="n"/>
      <c r="C327" s="5" t="n"/>
      <c r="D327" s="5" t="n"/>
      <c r="E327" s="6" t="n"/>
      <c r="F327" s="5" t="n"/>
      <c r="G327" s="5" t="n"/>
      <c r="H327" s="5" t="n"/>
      <c r="I327" s="5" t="n"/>
      <c r="J327" s="5" t="n"/>
      <c r="K327" s="5" t="n"/>
    </row>
    <row r="328">
      <c r="A328" s="7" t="n">
        <v>326</v>
      </c>
      <c r="B328" s="8" t="n"/>
      <c r="C328" s="9" t="n"/>
      <c r="D328" s="9" t="n"/>
      <c r="E328" s="10" t="n"/>
      <c r="F328" s="9" t="n"/>
      <c r="G328" s="9" t="n"/>
      <c r="H328" s="9" t="n"/>
      <c r="I328" s="9" t="n"/>
      <c r="J328" s="9" t="n"/>
      <c r="K328" s="9" t="n"/>
    </row>
    <row r="329">
      <c r="A329" s="3" t="n">
        <v>327</v>
      </c>
      <c r="B329" s="4" t="n"/>
      <c r="C329" s="5" t="n"/>
      <c r="D329" s="5" t="n"/>
      <c r="E329" s="6" t="n"/>
      <c r="F329" s="5" t="n"/>
      <c r="G329" s="5" t="n"/>
      <c r="H329" s="5" t="n"/>
      <c r="I329" s="5" t="n"/>
      <c r="J329" s="5" t="n"/>
      <c r="K329" s="5" t="n"/>
    </row>
    <row r="330">
      <c r="A330" s="7" t="n">
        <v>328</v>
      </c>
      <c r="B330" s="8" t="n"/>
      <c r="C330" s="9" t="n"/>
      <c r="D330" s="9" t="n"/>
      <c r="E330" s="10" t="n"/>
      <c r="F330" s="9" t="n"/>
      <c r="G330" s="9" t="n"/>
      <c r="H330" s="9" t="n"/>
      <c r="I330" s="9" t="n"/>
      <c r="J330" s="9" t="n"/>
      <c r="K330" s="9" t="n"/>
    </row>
    <row r="331">
      <c r="A331" s="3" t="n">
        <v>329</v>
      </c>
      <c r="B331" s="4" t="n"/>
      <c r="C331" s="5" t="n"/>
      <c r="D331" s="5" t="n"/>
      <c r="E331" s="6" t="n"/>
      <c r="F331" s="5" t="n"/>
      <c r="G331" s="5" t="n"/>
      <c r="H331" s="5" t="n"/>
      <c r="I331" s="5" t="n"/>
      <c r="J331" s="5" t="n"/>
      <c r="K331" s="5" t="n"/>
    </row>
    <row r="332">
      <c r="A332" s="7" t="n">
        <v>330</v>
      </c>
      <c r="B332" s="8" t="n"/>
      <c r="C332" s="9" t="n"/>
      <c r="D332" s="9" t="n"/>
      <c r="E332" s="10" t="n"/>
      <c r="F332" s="9" t="n"/>
      <c r="G332" s="9" t="n"/>
      <c r="H332" s="9" t="n"/>
      <c r="I332" s="9" t="n"/>
      <c r="J332" s="9" t="n"/>
      <c r="K332" s="9" t="n"/>
    </row>
    <row r="333">
      <c r="A333" s="3" t="n">
        <v>331</v>
      </c>
      <c r="B333" s="4" t="n"/>
      <c r="C333" s="5" t="n"/>
      <c r="D333" s="5" t="n"/>
      <c r="E333" s="6" t="n"/>
      <c r="F333" s="5" t="n"/>
      <c r="G333" s="5" t="n"/>
      <c r="H333" s="5" t="n"/>
      <c r="I333" s="5" t="n"/>
      <c r="J333" s="5" t="n"/>
      <c r="K333" s="5" t="n"/>
    </row>
    <row r="334">
      <c r="A334" s="7" t="n">
        <v>332</v>
      </c>
      <c r="B334" s="8" t="n"/>
      <c r="C334" s="9" t="n"/>
      <c r="D334" s="9" t="n"/>
      <c r="E334" s="10" t="n"/>
      <c r="F334" s="9" t="n"/>
      <c r="G334" s="9" t="n"/>
      <c r="H334" s="9" t="n"/>
      <c r="I334" s="9" t="n"/>
      <c r="J334" s="9" t="n"/>
      <c r="K334" s="9" t="n"/>
    </row>
    <row r="335">
      <c r="A335" s="3" t="n">
        <v>333</v>
      </c>
      <c r="B335" s="4" t="n"/>
      <c r="C335" s="5" t="n"/>
      <c r="D335" s="5" t="n"/>
      <c r="E335" s="6" t="n"/>
      <c r="F335" s="5" t="n"/>
      <c r="G335" s="5" t="n"/>
      <c r="H335" s="5" t="n"/>
      <c r="I335" s="5" t="n"/>
      <c r="J335" s="5" t="n"/>
      <c r="K335" s="5" t="n"/>
    </row>
    <row r="336">
      <c r="A336" s="7" t="n">
        <v>334</v>
      </c>
      <c r="B336" s="8" t="n"/>
      <c r="C336" s="9" t="n"/>
      <c r="D336" s="9" t="n"/>
      <c r="E336" s="10" t="n"/>
      <c r="F336" s="9" t="n"/>
      <c r="G336" s="9" t="n"/>
      <c r="H336" s="9" t="n"/>
      <c r="I336" s="9" t="n"/>
      <c r="J336" s="9" t="n"/>
      <c r="K336" s="9" t="n"/>
    </row>
    <row r="337">
      <c r="A337" s="3" t="n">
        <v>335</v>
      </c>
      <c r="B337" s="4" t="n"/>
      <c r="C337" s="5" t="n"/>
      <c r="D337" s="5" t="n"/>
      <c r="E337" s="6" t="n"/>
      <c r="F337" s="5" t="n"/>
      <c r="G337" s="5" t="n"/>
      <c r="H337" s="5" t="n"/>
      <c r="I337" s="5" t="n"/>
      <c r="J337" s="5" t="n"/>
      <c r="K337" s="5" t="n"/>
    </row>
    <row r="338">
      <c r="A338" s="7" t="n">
        <v>336</v>
      </c>
      <c r="B338" s="8" t="n"/>
      <c r="C338" s="9" t="n"/>
      <c r="D338" s="9" t="n"/>
      <c r="E338" s="10" t="n"/>
      <c r="F338" s="9" t="n"/>
      <c r="G338" s="9" t="n"/>
      <c r="H338" s="9" t="n"/>
      <c r="I338" s="9" t="n"/>
      <c r="J338" s="9" t="n"/>
      <c r="K338" s="9" t="n"/>
    </row>
    <row r="339">
      <c r="A339" s="3" t="n">
        <v>337</v>
      </c>
      <c r="B339" s="4" t="n"/>
      <c r="C339" s="5" t="n"/>
      <c r="D339" s="5" t="n"/>
      <c r="E339" s="6" t="n"/>
      <c r="F339" s="5" t="n"/>
      <c r="G339" s="5" t="n"/>
      <c r="H339" s="5" t="n"/>
      <c r="I339" s="5" t="n"/>
      <c r="J339" s="5" t="n"/>
      <c r="K339" s="5" t="n"/>
    </row>
    <row r="340">
      <c r="A340" s="7" t="n">
        <v>338</v>
      </c>
      <c r="B340" s="8" t="n"/>
      <c r="C340" s="9" t="n"/>
      <c r="D340" s="9" t="n"/>
      <c r="E340" s="10" t="n"/>
      <c r="F340" s="9" t="n"/>
      <c r="G340" s="9" t="n"/>
      <c r="H340" s="9" t="n"/>
      <c r="I340" s="9" t="n"/>
      <c r="J340" s="9" t="n"/>
      <c r="K340" s="9" t="n"/>
    </row>
    <row r="341">
      <c r="A341" s="3" t="n">
        <v>339</v>
      </c>
      <c r="B341" s="4" t="n"/>
      <c r="C341" s="5" t="n"/>
      <c r="D341" s="5" t="n"/>
      <c r="E341" s="6" t="n"/>
      <c r="F341" s="5" t="n"/>
      <c r="G341" s="5" t="n"/>
      <c r="H341" s="5" t="n"/>
      <c r="I341" s="5" t="n"/>
      <c r="J341" s="5" t="n"/>
      <c r="K341" s="5" t="n"/>
    </row>
    <row r="342">
      <c r="A342" s="7" t="n">
        <v>340</v>
      </c>
      <c r="B342" s="8" t="n"/>
      <c r="C342" s="9" t="n"/>
      <c r="D342" s="9" t="n"/>
      <c r="E342" s="10" t="n"/>
      <c r="F342" s="9" t="n"/>
      <c r="G342" s="9" t="n"/>
      <c r="H342" s="9" t="n"/>
      <c r="I342" s="9" t="n"/>
      <c r="J342" s="9" t="n"/>
      <c r="K342" s="9" t="n"/>
    </row>
    <row r="343">
      <c r="A343" s="3" t="n">
        <v>341</v>
      </c>
      <c r="B343" s="4" t="n"/>
      <c r="C343" s="5" t="n"/>
      <c r="D343" s="5" t="n"/>
      <c r="E343" s="6" t="n"/>
      <c r="F343" s="5" t="n"/>
      <c r="G343" s="5" t="n"/>
      <c r="H343" s="5" t="n"/>
      <c r="I343" s="5" t="n"/>
      <c r="J343" s="5" t="n"/>
      <c r="K343" s="5" t="n"/>
    </row>
    <row r="344">
      <c r="A344" s="7" t="n">
        <v>342</v>
      </c>
      <c r="B344" s="8" t="n"/>
      <c r="C344" s="9" t="n"/>
      <c r="D344" s="9" t="n"/>
      <c r="E344" s="10" t="n"/>
      <c r="F344" s="9" t="n"/>
      <c r="G344" s="9" t="n"/>
      <c r="H344" s="9" t="n"/>
      <c r="I344" s="9" t="n"/>
      <c r="J344" s="9" t="n"/>
      <c r="K344" s="9" t="n"/>
    </row>
    <row r="345">
      <c r="A345" s="3" t="n">
        <v>343</v>
      </c>
      <c r="B345" s="4" t="n"/>
      <c r="C345" s="5" t="n"/>
      <c r="D345" s="5" t="n"/>
      <c r="E345" s="6" t="n"/>
      <c r="F345" s="5" t="n"/>
      <c r="G345" s="5" t="n"/>
      <c r="H345" s="5" t="n"/>
      <c r="I345" s="5" t="n"/>
      <c r="J345" s="5" t="n"/>
      <c r="K345" s="5" t="n"/>
    </row>
    <row r="346">
      <c r="A346" s="7" t="n">
        <v>344</v>
      </c>
      <c r="B346" s="8" t="n"/>
      <c r="C346" s="9" t="n"/>
      <c r="D346" s="9" t="n"/>
      <c r="E346" s="10" t="n"/>
      <c r="F346" s="9" t="n"/>
      <c r="G346" s="9" t="n"/>
      <c r="H346" s="9" t="n"/>
      <c r="I346" s="9" t="n"/>
      <c r="J346" s="9" t="n"/>
      <c r="K346" s="9" t="n"/>
    </row>
    <row r="347">
      <c r="A347" s="3" t="n">
        <v>345</v>
      </c>
      <c r="B347" s="4" t="n"/>
      <c r="C347" s="5" t="n"/>
      <c r="D347" s="5" t="n"/>
      <c r="E347" s="6" t="n"/>
      <c r="F347" s="5" t="n"/>
      <c r="G347" s="5" t="n"/>
      <c r="H347" s="5" t="n"/>
      <c r="I347" s="5" t="n"/>
      <c r="J347" s="5" t="n"/>
      <c r="K347" s="5" t="n"/>
    </row>
    <row r="348">
      <c r="A348" s="7" t="n">
        <v>346</v>
      </c>
      <c r="B348" s="8" t="n"/>
      <c r="C348" s="9" t="n"/>
      <c r="D348" s="9" t="n"/>
      <c r="E348" s="10" t="n"/>
      <c r="F348" s="9" t="n"/>
      <c r="G348" s="9" t="n"/>
      <c r="H348" s="9" t="n"/>
      <c r="I348" s="9" t="n"/>
      <c r="J348" s="9" t="n"/>
      <c r="K348" s="9" t="n"/>
    </row>
    <row r="349">
      <c r="A349" s="3" t="n">
        <v>347</v>
      </c>
      <c r="B349" s="4" t="n"/>
      <c r="C349" s="5" t="n"/>
      <c r="D349" s="5" t="n"/>
      <c r="E349" s="6" t="n"/>
      <c r="F349" s="5" t="n"/>
      <c r="G349" s="5" t="n"/>
      <c r="H349" s="5" t="n"/>
      <c r="I349" s="5" t="n"/>
      <c r="J349" s="5" t="n"/>
      <c r="K349" s="5" t="n"/>
    </row>
    <row r="350">
      <c r="A350" s="7" t="n">
        <v>348</v>
      </c>
      <c r="B350" s="8" t="n"/>
      <c r="C350" s="9" t="n"/>
      <c r="D350" s="9" t="n"/>
      <c r="E350" s="10" t="n"/>
      <c r="F350" s="9" t="n"/>
      <c r="G350" s="9" t="n"/>
      <c r="H350" s="9" t="n"/>
      <c r="I350" s="9" t="n"/>
      <c r="J350" s="9" t="n"/>
      <c r="K350" s="9" t="n"/>
    </row>
    <row r="351">
      <c r="A351" s="3" t="n">
        <v>349</v>
      </c>
      <c r="B351" s="4" t="n"/>
      <c r="C351" s="5" t="n"/>
      <c r="D351" s="5" t="n"/>
      <c r="E351" s="6" t="n"/>
      <c r="F351" s="5" t="n"/>
      <c r="G351" s="5" t="n"/>
      <c r="H351" s="5" t="n"/>
      <c r="I351" s="5" t="n"/>
      <c r="J351" s="5" t="n"/>
      <c r="K351" s="5" t="n"/>
    </row>
    <row r="352">
      <c r="A352" s="7" t="n">
        <v>350</v>
      </c>
      <c r="B352" s="8" t="n"/>
      <c r="C352" s="9" t="n"/>
      <c r="D352" s="9" t="n"/>
      <c r="E352" s="10" t="n"/>
      <c r="F352" s="9" t="n"/>
      <c r="G352" s="9" t="n"/>
      <c r="H352" s="9" t="n"/>
      <c r="I352" s="9" t="n"/>
      <c r="J352" s="9" t="n"/>
      <c r="K352" s="9" t="n"/>
    </row>
    <row r="353">
      <c r="A353" s="3" t="n">
        <v>351</v>
      </c>
      <c r="B353" s="4" t="n"/>
      <c r="C353" s="5" t="n"/>
      <c r="D353" s="5" t="n"/>
      <c r="E353" s="6" t="n"/>
      <c r="F353" s="5" t="n"/>
      <c r="G353" s="5" t="n"/>
      <c r="H353" s="5" t="n"/>
      <c r="I353" s="5" t="n"/>
      <c r="J353" s="5" t="n"/>
      <c r="K353" s="5" t="n"/>
    </row>
    <row r="354">
      <c r="A354" s="7" t="n">
        <v>352</v>
      </c>
      <c r="B354" s="8" t="n"/>
      <c r="C354" s="9" t="n"/>
      <c r="D354" s="9" t="n"/>
      <c r="E354" s="10" t="n"/>
      <c r="F354" s="9" t="n"/>
      <c r="G354" s="9" t="n"/>
      <c r="H354" s="9" t="n"/>
      <c r="I354" s="9" t="n"/>
      <c r="J354" s="9" t="n"/>
      <c r="K354" s="9" t="n"/>
    </row>
    <row r="355">
      <c r="A355" s="3" t="n">
        <v>353</v>
      </c>
      <c r="B355" s="4" t="n"/>
      <c r="C355" s="5" t="n"/>
      <c r="D355" s="5" t="n"/>
      <c r="E355" s="6" t="n"/>
      <c r="F355" s="5" t="n"/>
      <c r="G355" s="5" t="n"/>
      <c r="H355" s="5" t="n"/>
      <c r="I355" s="5" t="n"/>
      <c r="J355" s="5" t="n"/>
      <c r="K355" s="5" t="n"/>
    </row>
    <row r="356">
      <c r="A356" s="7" t="n">
        <v>354</v>
      </c>
      <c r="B356" s="8" t="n"/>
      <c r="C356" s="9" t="n"/>
      <c r="D356" s="9" t="n"/>
      <c r="E356" s="10" t="n"/>
      <c r="F356" s="9" t="n"/>
      <c r="G356" s="9" t="n"/>
      <c r="H356" s="9" t="n"/>
      <c r="I356" s="9" t="n"/>
      <c r="J356" s="9" t="n"/>
      <c r="K356" s="9" t="n"/>
    </row>
    <row r="357">
      <c r="A357" s="3" t="n">
        <v>355</v>
      </c>
      <c r="B357" s="4" t="n"/>
      <c r="C357" s="5" t="n"/>
      <c r="D357" s="5" t="n"/>
      <c r="E357" s="6" t="n"/>
      <c r="F357" s="5" t="n"/>
      <c r="G357" s="5" t="n"/>
      <c r="H357" s="5" t="n"/>
      <c r="I357" s="5" t="n"/>
      <c r="J357" s="5" t="n"/>
      <c r="K357" s="5" t="n"/>
    </row>
    <row r="358">
      <c r="A358" s="7" t="n">
        <v>356</v>
      </c>
      <c r="B358" s="8" t="n"/>
      <c r="C358" s="9" t="n"/>
      <c r="D358" s="9" t="n"/>
      <c r="E358" s="10" t="n"/>
      <c r="F358" s="9" t="n"/>
      <c r="G358" s="9" t="n"/>
      <c r="H358" s="9" t="n"/>
      <c r="I358" s="9" t="n"/>
      <c r="J358" s="9" t="n"/>
      <c r="K358" s="9" t="n"/>
    </row>
    <row r="359">
      <c r="A359" s="3" t="n">
        <v>357</v>
      </c>
      <c r="B359" s="4" t="n"/>
      <c r="C359" s="5" t="n"/>
      <c r="D359" s="5" t="n"/>
      <c r="E359" s="6" t="n"/>
      <c r="F359" s="5" t="n"/>
      <c r="G359" s="5" t="n"/>
      <c r="H359" s="5" t="n"/>
      <c r="I359" s="5" t="n"/>
      <c r="J359" s="5" t="n"/>
      <c r="K359" s="5" t="n"/>
    </row>
    <row r="360">
      <c r="A360" s="7" t="n">
        <v>358</v>
      </c>
      <c r="B360" s="8" t="n"/>
      <c r="C360" s="9" t="n"/>
      <c r="D360" s="9" t="n"/>
      <c r="E360" s="10" t="n"/>
      <c r="F360" s="9" t="n"/>
      <c r="G360" s="9" t="n"/>
      <c r="H360" s="9" t="n"/>
      <c r="I360" s="9" t="n"/>
      <c r="J360" s="9" t="n"/>
      <c r="K360" s="9" t="n"/>
    </row>
    <row r="361">
      <c r="A361" s="3" t="n">
        <v>359</v>
      </c>
      <c r="B361" s="4" t="n"/>
      <c r="C361" s="5" t="n"/>
      <c r="D361" s="5" t="n"/>
      <c r="E361" s="6" t="n"/>
      <c r="F361" s="5" t="n"/>
      <c r="G361" s="5" t="n"/>
      <c r="H361" s="5" t="n"/>
      <c r="I361" s="5" t="n"/>
      <c r="J361" s="5" t="n"/>
      <c r="K361" s="5" t="n"/>
    </row>
    <row r="362">
      <c r="A362" s="7" t="n">
        <v>360</v>
      </c>
      <c r="B362" s="8" t="n"/>
      <c r="C362" s="9" t="n"/>
      <c r="D362" s="9" t="n"/>
      <c r="E362" s="10" t="n"/>
      <c r="F362" s="9" t="n"/>
      <c r="G362" s="9" t="n"/>
      <c r="H362" s="9" t="n"/>
      <c r="I362" s="9" t="n"/>
      <c r="J362" s="9" t="n"/>
      <c r="K362" s="9" t="n"/>
    </row>
    <row r="363">
      <c r="A363" s="3" t="n">
        <v>361</v>
      </c>
      <c r="B363" s="4" t="n"/>
      <c r="C363" s="5" t="n"/>
      <c r="D363" s="5" t="n"/>
      <c r="E363" s="6" t="n"/>
      <c r="F363" s="5" t="n"/>
      <c r="G363" s="5" t="n"/>
      <c r="H363" s="5" t="n"/>
      <c r="I363" s="5" t="n"/>
      <c r="J363" s="5" t="n"/>
      <c r="K363" s="5" t="n"/>
    </row>
    <row r="364">
      <c r="A364" s="7" t="n">
        <v>362</v>
      </c>
      <c r="B364" s="8" t="n"/>
      <c r="C364" s="9" t="n"/>
      <c r="D364" s="9" t="n"/>
      <c r="E364" s="10" t="n"/>
      <c r="F364" s="9" t="n"/>
      <c r="G364" s="9" t="n"/>
      <c r="H364" s="9" t="n"/>
      <c r="I364" s="9" t="n"/>
      <c r="J364" s="9" t="n"/>
      <c r="K364" s="9" t="n"/>
    </row>
    <row r="365">
      <c r="A365" s="3" t="n">
        <v>363</v>
      </c>
      <c r="B365" s="4" t="n"/>
      <c r="C365" s="5" t="n"/>
      <c r="D365" s="5" t="n"/>
      <c r="E365" s="6" t="n"/>
      <c r="F365" s="5" t="n"/>
      <c r="G365" s="5" t="n"/>
      <c r="H365" s="5" t="n"/>
      <c r="I365" s="5" t="n"/>
      <c r="J365" s="5" t="n"/>
      <c r="K365" s="5" t="n"/>
    </row>
    <row r="366">
      <c r="A366" s="7" t="n">
        <v>364</v>
      </c>
      <c r="B366" s="8" t="n"/>
      <c r="C366" s="9" t="n"/>
      <c r="D366" s="9" t="n"/>
      <c r="E366" s="10" t="n"/>
      <c r="F366" s="9" t="n"/>
      <c r="G366" s="9" t="n"/>
      <c r="H366" s="9" t="n"/>
      <c r="I366" s="9" t="n"/>
      <c r="J366" s="9" t="n"/>
      <c r="K366" s="9" t="n"/>
    </row>
    <row r="367">
      <c r="A367" s="3" t="n">
        <v>365</v>
      </c>
      <c r="B367" s="4" t="n"/>
      <c r="C367" s="5" t="n"/>
      <c r="D367" s="5" t="n"/>
      <c r="E367" s="6" t="n"/>
      <c r="F367" s="5" t="n"/>
      <c r="G367" s="5" t="n"/>
      <c r="H367" s="5" t="n"/>
      <c r="I367" s="5" t="n"/>
      <c r="J367" s="5" t="n"/>
      <c r="K367" s="5" t="n"/>
    </row>
    <row r="368">
      <c r="A368" s="7" t="n">
        <v>366</v>
      </c>
      <c r="B368" s="8" t="n"/>
      <c r="C368" s="9" t="n"/>
      <c r="D368" s="9" t="n"/>
      <c r="E368" s="10" t="n"/>
      <c r="F368" s="9" t="n"/>
      <c r="G368" s="9" t="n"/>
      <c r="H368" s="9" t="n"/>
      <c r="I368" s="9" t="n"/>
      <c r="J368" s="9" t="n"/>
      <c r="K368" s="9" t="n"/>
    </row>
    <row r="369">
      <c r="A369" s="3" t="n">
        <v>367</v>
      </c>
      <c r="B369" s="4" t="n"/>
      <c r="C369" s="5" t="n"/>
      <c r="D369" s="5" t="n"/>
      <c r="E369" s="6" t="n"/>
      <c r="F369" s="5" t="n"/>
      <c r="G369" s="5" t="n"/>
      <c r="H369" s="5" t="n"/>
      <c r="I369" s="5" t="n"/>
      <c r="J369" s="5" t="n"/>
      <c r="K369" s="5" t="n"/>
    </row>
    <row r="370">
      <c r="A370" s="7" t="n">
        <v>368</v>
      </c>
      <c r="B370" s="8" t="n"/>
      <c r="C370" s="9" t="n"/>
      <c r="D370" s="9" t="n"/>
      <c r="E370" s="10" t="n"/>
      <c r="F370" s="9" t="n"/>
      <c r="G370" s="9" t="n"/>
      <c r="H370" s="9" t="n"/>
      <c r="I370" s="9" t="n"/>
      <c r="J370" s="9" t="n"/>
      <c r="K370" s="9" t="n"/>
    </row>
    <row r="371">
      <c r="A371" s="3" t="n">
        <v>369</v>
      </c>
      <c r="B371" s="4" t="n"/>
      <c r="C371" s="5" t="n"/>
      <c r="D371" s="5" t="n"/>
      <c r="E371" s="6" t="n"/>
      <c r="F371" s="5" t="n"/>
      <c r="G371" s="5" t="n"/>
      <c r="H371" s="5" t="n"/>
      <c r="I371" s="5" t="n"/>
      <c r="J371" s="5" t="n"/>
      <c r="K371" s="5" t="n"/>
    </row>
    <row r="372">
      <c r="A372" s="7" t="n">
        <v>370</v>
      </c>
      <c r="B372" s="8" t="n"/>
      <c r="C372" s="9" t="n"/>
      <c r="D372" s="9" t="n"/>
      <c r="E372" s="10" t="n"/>
      <c r="F372" s="9" t="n"/>
      <c r="G372" s="9" t="n"/>
      <c r="H372" s="9" t="n"/>
      <c r="I372" s="9" t="n"/>
      <c r="J372" s="9" t="n"/>
      <c r="K372" s="9" t="n"/>
    </row>
    <row r="373">
      <c r="A373" s="3" t="n">
        <v>371</v>
      </c>
      <c r="B373" s="4" t="n"/>
      <c r="C373" s="5" t="n"/>
      <c r="D373" s="5" t="n"/>
      <c r="E373" s="6" t="n"/>
      <c r="F373" s="5" t="n"/>
      <c r="G373" s="5" t="n"/>
      <c r="H373" s="5" t="n"/>
      <c r="I373" s="5" t="n"/>
      <c r="J373" s="5" t="n"/>
      <c r="K373" s="5" t="n"/>
    </row>
    <row r="374">
      <c r="A374" s="7" t="n">
        <v>372</v>
      </c>
      <c r="B374" s="8" t="n"/>
      <c r="C374" s="9" t="n"/>
      <c r="D374" s="9" t="n"/>
      <c r="E374" s="10" t="n"/>
      <c r="F374" s="9" t="n"/>
      <c r="G374" s="9" t="n"/>
      <c r="H374" s="9" t="n"/>
      <c r="I374" s="9" t="n"/>
      <c r="J374" s="9" t="n"/>
      <c r="K374" s="9" t="n"/>
    </row>
    <row r="375">
      <c r="A375" s="3" t="n">
        <v>373</v>
      </c>
      <c r="B375" s="4" t="n"/>
      <c r="C375" s="5" t="n"/>
      <c r="D375" s="5" t="n"/>
      <c r="E375" s="6" t="n"/>
      <c r="F375" s="5" t="n"/>
      <c r="G375" s="5" t="n"/>
      <c r="H375" s="5" t="n"/>
      <c r="I375" s="5" t="n"/>
      <c r="J375" s="5" t="n"/>
      <c r="K375" s="5" t="n"/>
    </row>
    <row r="376">
      <c r="A376" s="7" t="n">
        <v>374</v>
      </c>
      <c r="B376" s="8" t="n"/>
      <c r="C376" s="9" t="n"/>
      <c r="D376" s="9" t="n"/>
      <c r="E376" s="10" t="n"/>
      <c r="F376" s="9" t="n"/>
      <c r="G376" s="9" t="n"/>
      <c r="H376" s="9" t="n"/>
      <c r="I376" s="9" t="n"/>
      <c r="J376" s="9" t="n"/>
      <c r="K376" s="9" t="n"/>
    </row>
    <row r="377">
      <c r="A377" s="3" t="n">
        <v>375</v>
      </c>
      <c r="B377" s="4" t="n"/>
      <c r="C377" s="5" t="n"/>
      <c r="D377" s="5" t="n"/>
      <c r="E377" s="6" t="n"/>
      <c r="F377" s="5" t="n"/>
      <c r="G377" s="5" t="n"/>
      <c r="H377" s="5" t="n"/>
      <c r="I377" s="5" t="n"/>
      <c r="J377" s="5" t="n"/>
      <c r="K377" s="5" t="n"/>
    </row>
    <row r="378">
      <c r="A378" s="7" t="n">
        <v>376</v>
      </c>
      <c r="B378" s="8" t="n"/>
      <c r="C378" s="9" t="n"/>
      <c r="D378" s="9" t="n"/>
      <c r="E378" s="10" t="n"/>
      <c r="F378" s="9" t="n"/>
      <c r="G378" s="9" t="n"/>
      <c r="H378" s="9" t="n"/>
      <c r="I378" s="9" t="n"/>
      <c r="J378" s="9" t="n"/>
      <c r="K378" s="9" t="n"/>
    </row>
    <row r="379">
      <c r="A379" s="3" t="n">
        <v>377</v>
      </c>
      <c r="B379" s="4" t="n"/>
      <c r="C379" s="5" t="n"/>
      <c r="D379" s="5" t="n"/>
      <c r="E379" s="6" t="n"/>
      <c r="F379" s="5" t="n"/>
      <c r="G379" s="5" t="n"/>
      <c r="H379" s="5" t="n"/>
      <c r="I379" s="5" t="n"/>
      <c r="J379" s="5" t="n"/>
      <c r="K379" s="5" t="n"/>
    </row>
    <row r="380">
      <c r="A380" s="7" t="n">
        <v>378</v>
      </c>
      <c r="B380" s="8" t="n"/>
      <c r="C380" s="9" t="n"/>
      <c r="D380" s="9" t="n"/>
      <c r="E380" s="10" t="n"/>
      <c r="F380" s="9" t="n"/>
      <c r="G380" s="9" t="n"/>
      <c r="H380" s="9" t="n"/>
      <c r="I380" s="9" t="n"/>
      <c r="J380" s="9" t="n"/>
      <c r="K380" s="9" t="n"/>
    </row>
    <row r="381">
      <c r="A381" s="3" t="n">
        <v>379</v>
      </c>
      <c r="B381" s="4" t="n"/>
      <c r="C381" s="5" t="n"/>
      <c r="D381" s="5" t="n"/>
      <c r="E381" s="6" t="n"/>
      <c r="F381" s="5" t="n"/>
      <c r="G381" s="5" t="n"/>
      <c r="H381" s="5" t="n"/>
      <c r="I381" s="5" t="n"/>
      <c r="J381" s="5" t="n"/>
      <c r="K381" s="5" t="n"/>
    </row>
    <row r="382">
      <c r="A382" s="7" t="n">
        <v>380</v>
      </c>
      <c r="B382" s="8" t="n"/>
      <c r="C382" s="9" t="n"/>
      <c r="D382" s="9" t="n"/>
      <c r="E382" s="10" t="n"/>
      <c r="F382" s="9" t="n"/>
      <c r="G382" s="9" t="n"/>
      <c r="H382" s="9" t="n"/>
      <c r="I382" s="9" t="n"/>
      <c r="J382" s="9" t="n"/>
      <c r="K382" s="9" t="n"/>
    </row>
    <row r="383">
      <c r="A383" s="3" t="n">
        <v>381</v>
      </c>
      <c r="B383" s="4" t="n"/>
      <c r="C383" s="5" t="n"/>
      <c r="D383" s="5" t="n"/>
      <c r="E383" s="6" t="n"/>
      <c r="F383" s="5" t="n"/>
      <c r="G383" s="5" t="n"/>
      <c r="H383" s="5" t="n"/>
      <c r="I383" s="5" t="n"/>
      <c r="J383" s="5" t="n"/>
      <c r="K383" s="5" t="n"/>
    </row>
    <row r="384">
      <c r="A384" s="7" t="n">
        <v>382</v>
      </c>
      <c r="B384" s="8" t="n"/>
      <c r="C384" s="9" t="n"/>
      <c r="D384" s="9" t="n"/>
      <c r="E384" s="10" t="n"/>
      <c r="F384" s="9" t="n"/>
      <c r="G384" s="9" t="n"/>
      <c r="H384" s="9" t="n"/>
      <c r="I384" s="9" t="n"/>
      <c r="J384" s="9" t="n"/>
      <c r="K384" s="9" t="n"/>
    </row>
    <row r="385">
      <c r="A385" s="3" t="n">
        <v>383</v>
      </c>
      <c r="B385" s="4" t="n"/>
      <c r="C385" s="5" t="n"/>
      <c r="D385" s="5" t="n"/>
      <c r="E385" s="6" t="n"/>
      <c r="F385" s="5" t="n"/>
      <c r="G385" s="5" t="n"/>
      <c r="H385" s="5" t="n"/>
      <c r="I385" s="5" t="n"/>
      <c r="J385" s="5" t="n"/>
      <c r="K385" s="5" t="n"/>
    </row>
    <row r="386">
      <c r="A386" s="7" t="n">
        <v>384</v>
      </c>
      <c r="B386" s="8" t="n"/>
      <c r="C386" s="9" t="n"/>
      <c r="D386" s="9" t="n"/>
      <c r="E386" s="10" t="n"/>
      <c r="F386" s="9" t="n"/>
      <c r="G386" s="9" t="n"/>
      <c r="H386" s="9" t="n"/>
      <c r="I386" s="9" t="n"/>
      <c r="J386" s="9" t="n"/>
      <c r="K386" s="9" t="n"/>
    </row>
    <row r="387">
      <c r="A387" s="3" t="n">
        <v>385</v>
      </c>
      <c r="B387" s="4" t="n"/>
      <c r="C387" s="5" t="n"/>
      <c r="D387" s="5" t="n"/>
      <c r="E387" s="6" t="n"/>
      <c r="F387" s="5" t="n"/>
      <c r="G387" s="5" t="n"/>
      <c r="H387" s="5" t="n"/>
      <c r="I387" s="5" t="n"/>
      <c r="J387" s="5" t="n"/>
      <c r="K387" s="5" t="n"/>
    </row>
    <row r="388">
      <c r="A388" s="7" t="n">
        <v>386</v>
      </c>
      <c r="B388" s="8" t="n"/>
      <c r="C388" s="9" t="n"/>
      <c r="D388" s="9" t="n"/>
      <c r="E388" s="10" t="n"/>
      <c r="F388" s="9" t="n"/>
      <c r="G388" s="9" t="n"/>
      <c r="H388" s="9" t="n"/>
      <c r="I388" s="9" t="n"/>
      <c r="J388" s="9" t="n"/>
      <c r="K388" s="9" t="n"/>
    </row>
    <row r="389">
      <c r="A389" s="3" t="n">
        <v>387</v>
      </c>
      <c r="B389" s="4" t="n"/>
      <c r="C389" s="5" t="n"/>
      <c r="D389" s="5" t="n"/>
      <c r="E389" s="6" t="n"/>
      <c r="F389" s="5" t="n"/>
      <c r="G389" s="5" t="n"/>
      <c r="H389" s="5" t="n"/>
      <c r="I389" s="5" t="n"/>
      <c r="J389" s="5" t="n"/>
      <c r="K389" s="5" t="n"/>
    </row>
    <row r="390">
      <c r="A390" s="7" t="n">
        <v>388</v>
      </c>
      <c r="B390" s="8" t="n"/>
      <c r="C390" s="9" t="n"/>
      <c r="D390" s="9" t="n"/>
      <c r="E390" s="10" t="n"/>
      <c r="F390" s="9" t="n"/>
      <c r="G390" s="9" t="n"/>
      <c r="H390" s="9" t="n"/>
      <c r="I390" s="9" t="n"/>
      <c r="J390" s="9" t="n"/>
      <c r="K390" s="9" t="n"/>
    </row>
    <row r="391">
      <c r="A391" s="3" t="n">
        <v>389</v>
      </c>
      <c r="B391" s="4" t="n"/>
      <c r="C391" s="5" t="n"/>
      <c r="D391" s="5" t="n"/>
      <c r="E391" s="6" t="n"/>
      <c r="F391" s="5" t="n"/>
      <c r="G391" s="5" t="n"/>
      <c r="H391" s="5" t="n"/>
      <c r="I391" s="5" t="n"/>
      <c r="J391" s="5" t="n"/>
      <c r="K391" s="5" t="n"/>
    </row>
    <row r="392">
      <c r="A392" s="7" t="n">
        <v>390</v>
      </c>
      <c r="B392" s="8" t="n"/>
      <c r="C392" s="9" t="n"/>
      <c r="D392" s="9" t="n"/>
      <c r="E392" s="10" t="n"/>
      <c r="F392" s="9" t="n"/>
      <c r="G392" s="9" t="n"/>
      <c r="H392" s="9" t="n"/>
      <c r="I392" s="9" t="n"/>
      <c r="J392" s="9" t="n"/>
      <c r="K392" s="9" t="n"/>
    </row>
    <row r="393">
      <c r="A393" s="3" t="n">
        <v>391</v>
      </c>
      <c r="B393" s="4" t="n"/>
      <c r="C393" s="5" t="n"/>
      <c r="D393" s="5" t="n"/>
      <c r="E393" s="6" t="n"/>
      <c r="F393" s="5" t="n"/>
      <c r="G393" s="5" t="n"/>
      <c r="H393" s="5" t="n"/>
      <c r="I393" s="5" t="n"/>
      <c r="J393" s="5" t="n"/>
      <c r="K393" s="5" t="n"/>
    </row>
    <row r="394">
      <c r="A394" s="7" t="n">
        <v>392</v>
      </c>
      <c r="B394" s="8" t="n"/>
      <c r="C394" s="9" t="n"/>
      <c r="D394" s="9" t="n"/>
      <c r="E394" s="10" t="n"/>
      <c r="F394" s="9" t="n"/>
      <c r="G394" s="9" t="n"/>
      <c r="H394" s="9" t="n"/>
      <c r="I394" s="9" t="n"/>
      <c r="J394" s="9" t="n"/>
      <c r="K394" s="9" t="n"/>
    </row>
    <row r="395">
      <c r="A395" s="3" t="n">
        <v>393</v>
      </c>
      <c r="B395" s="4" t="n"/>
      <c r="C395" s="5" t="n"/>
      <c r="D395" s="5" t="n"/>
      <c r="E395" s="6" t="n"/>
      <c r="F395" s="5" t="n"/>
      <c r="G395" s="5" t="n"/>
      <c r="H395" s="5" t="n"/>
      <c r="I395" s="5" t="n"/>
      <c r="J395" s="5" t="n"/>
      <c r="K395" s="5" t="n"/>
    </row>
    <row r="396">
      <c r="A396" s="7" t="n">
        <v>394</v>
      </c>
      <c r="B396" s="8" t="n"/>
      <c r="C396" s="9" t="n"/>
      <c r="D396" s="9" t="n"/>
      <c r="E396" s="10" t="n"/>
      <c r="F396" s="9" t="n"/>
      <c r="G396" s="9" t="n"/>
      <c r="H396" s="9" t="n"/>
      <c r="I396" s="9" t="n"/>
      <c r="J396" s="9" t="n"/>
      <c r="K396" s="9" t="n"/>
    </row>
    <row r="397">
      <c r="A397" s="3" t="n">
        <v>395</v>
      </c>
      <c r="B397" s="4" t="n"/>
      <c r="C397" s="5" t="n"/>
      <c r="D397" s="5" t="n"/>
      <c r="E397" s="6" t="n"/>
      <c r="F397" s="5" t="n"/>
      <c r="G397" s="5" t="n"/>
      <c r="H397" s="5" t="n"/>
      <c r="I397" s="5" t="n"/>
      <c r="J397" s="5" t="n"/>
      <c r="K397" s="5" t="n"/>
    </row>
    <row r="398">
      <c r="A398" s="7" t="n">
        <v>396</v>
      </c>
      <c r="B398" s="8" t="n"/>
      <c r="C398" s="9" t="n"/>
      <c r="D398" s="9" t="n"/>
      <c r="E398" s="10" t="n"/>
      <c r="F398" s="9" t="n"/>
      <c r="G398" s="9" t="n"/>
      <c r="H398" s="9" t="n"/>
      <c r="I398" s="9" t="n"/>
      <c r="J398" s="9" t="n"/>
      <c r="K398" s="9" t="n"/>
    </row>
    <row r="399">
      <c r="A399" s="3" t="n">
        <v>397</v>
      </c>
      <c r="B399" s="4" t="n"/>
      <c r="C399" s="5" t="n"/>
      <c r="D399" s="5" t="n"/>
      <c r="E399" s="6" t="n"/>
      <c r="F399" s="5" t="n"/>
      <c r="G399" s="5" t="n"/>
      <c r="H399" s="5" t="n"/>
      <c r="I399" s="5" t="n"/>
      <c r="J399" s="5" t="n"/>
      <c r="K399" s="5" t="n"/>
    </row>
    <row r="400">
      <c r="A400" s="7" t="n">
        <v>398</v>
      </c>
      <c r="B400" s="8" t="n"/>
      <c r="C400" s="9" t="n"/>
      <c r="D400" s="9" t="n"/>
      <c r="E400" s="10" t="n"/>
      <c r="F400" s="9" t="n"/>
      <c r="G400" s="9" t="n"/>
      <c r="H400" s="9" t="n"/>
      <c r="I400" s="9" t="n"/>
      <c r="J400" s="9" t="n"/>
      <c r="K400" s="9" t="n"/>
    </row>
    <row r="401">
      <c r="A401" s="3" t="n">
        <v>399</v>
      </c>
      <c r="B401" s="4" t="n"/>
      <c r="C401" s="5" t="n"/>
      <c r="D401" s="5" t="n"/>
      <c r="E401" s="6" t="n"/>
      <c r="F401" s="5" t="n"/>
      <c r="G401" s="5" t="n"/>
      <c r="H401" s="5" t="n"/>
      <c r="I401" s="5" t="n"/>
      <c r="J401" s="5" t="n"/>
      <c r="K401" s="5" t="n"/>
    </row>
    <row r="402">
      <c r="A402" s="7" t="n">
        <v>400</v>
      </c>
      <c r="B402" s="8" t="n"/>
      <c r="C402" s="9" t="n"/>
      <c r="D402" s="9" t="n"/>
      <c r="E402" s="10" t="n"/>
      <c r="F402" s="9" t="n"/>
      <c r="G402" s="9" t="n"/>
      <c r="H402" s="9" t="n"/>
      <c r="I402" s="9" t="n"/>
      <c r="J402" s="9" t="n"/>
      <c r="K402" s="9" t="n"/>
    </row>
    <row r="403">
      <c r="A403" s="3" t="n">
        <v>401</v>
      </c>
      <c r="B403" s="4" t="n"/>
      <c r="C403" s="5" t="n"/>
      <c r="D403" s="5" t="n"/>
      <c r="E403" s="6" t="n"/>
      <c r="F403" s="5" t="n"/>
      <c r="G403" s="5" t="n"/>
      <c r="H403" s="5" t="n"/>
      <c r="I403" s="5" t="n"/>
      <c r="J403" s="5" t="n"/>
      <c r="K403" s="5" t="n"/>
    </row>
    <row r="404">
      <c r="A404" s="7" t="n">
        <v>402</v>
      </c>
      <c r="B404" s="8" t="n"/>
      <c r="C404" s="9" t="n"/>
      <c r="D404" s="9" t="n"/>
      <c r="E404" s="10" t="n"/>
      <c r="F404" s="9" t="n"/>
      <c r="G404" s="9" t="n"/>
      <c r="H404" s="9" t="n"/>
      <c r="I404" s="9" t="n"/>
      <c r="J404" s="9" t="n"/>
      <c r="K404" s="9" t="n"/>
    </row>
    <row r="405">
      <c r="A405" s="3" t="n">
        <v>403</v>
      </c>
      <c r="B405" s="4" t="n"/>
      <c r="C405" s="5" t="n"/>
      <c r="D405" s="5" t="n"/>
      <c r="E405" s="6" t="n"/>
      <c r="F405" s="5" t="n"/>
      <c r="G405" s="5" t="n"/>
      <c r="H405" s="5" t="n"/>
      <c r="I405" s="5" t="n"/>
      <c r="J405" s="5" t="n"/>
      <c r="K405" s="5" t="n"/>
    </row>
    <row r="406">
      <c r="A406" s="7" t="n">
        <v>404</v>
      </c>
      <c r="B406" s="8" t="n"/>
      <c r="C406" s="9" t="n"/>
      <c r="D406" s="9" t="n"/>
      <c r="E406" s="10" t="n"/>
      <c r="F406" s="9" t="n"/>
      <c r="G406" s="9" t="n"/>
      <c r="H406" s="9" t="n"/>
      <c r="I406" s="9" t="n"/>
      <c r="J406" s="9" t="n"/>
      <c r="K406" s="9" t="n"/>
    </row>
    <row r="407">
      <c r="A407" s="3" t="n">
        <v>405</v>
      </c>
      <c r="B407" s="4" t="n"/>
      <c r="C407" s="5" t="n"/>
      <c r="D407" s="5" t="n"/>
      <c r="E407" s="6" t="n"/>
      <c r="F407" s="5" t="n"/>
      <c r="G407" s="5" t="n"/>
      <c r="H407" s="5" t="n"/>
      <c r="I407" s="5" t="n"/>
      <c r="J407" s="5" t="n"/>
      <c r="K407" s="5" t="n"/>
    </row>
    <row r="408">
      <c r="A408" s="7" t="n">
        <v>406</v>
      </c>
      <c r="B408" s="8" t="n"/>
      <c r="C408" s="9" t="n"/>
      <c r="D408" s="9" t="n"/>
      <c r="E408" s="10" t="n"/>
      <c r="F408" s="9" t="n"/>
      <c r="G408" s="9" t="n"/>
      <c r="H408" s="9" t="n"/>
      <c r="I408" s="9" t="n"/>
      <c r="J408" s="9" t="n"/>
      <c r="K408" s="9" t="n"/>
    </row>
    <row r="409">
      <c r="A409" s="3" t="n">
        <v>407</v>
      </c>
      <c r="B409" s="4" t="n"/>
      <c r="C409" s="5" t="n"/>
      <c r="D409" s="5" t="n"/>
      <c r="E409" s="6" t="n"/>
      <c r="F409" s="5" t="n"/>
      <c r="G409" s="5" t="n"/>
      <c r="H409" s="5" t="n"/>
      <c r="I409" s="5" t="n"/>
      <c r="J409" s="5" t="n"/>
      <c r="K409" s="5" t="n"/>
    </row>
    <row r="410">
      <c r="A410" s="7" t="n">
        <v>408</v>
      </c>
      <c r="B410" s="8" t="n"/>
      <c r="C410" s="9" t="n"/>
      <c r="D410" s="9" t="n"/>
      <c r="E410" s="10" t="n"/>
      <c r="F410" s="9" t="n"/>
      <c r="G410" s="9" t="n"/>
      <c r="H410" s="9" t="n"/>
      <c r="I410" s="9" t="n"/>
      <c r="J410" s="9" t="n"/>
      <c r="K410" s="9" t="n"/>
    </row>
    <row r="411">
      <c r="A411" s="3" t="n">
        <v>409</v>
      </c>
      <c r="B411" s="4" t="n"/>
      <c r="C411" s="5" t="n"/>
      <c r="D411" s="5" t="n"/>
      <c r="E411" s="6" t="n"/>
      <c r="F411" s="5" t="n"/>
      <c r="G411" s="5" t="n"/>
      <c r="H411" s="5" t="n"/>
      <c r="I411" s="5" t="n"/>
      <c r="J411" s="5" t="n"/>
      <c r="K411" s="5" t="n"/>
    </row>
    <row r="412">
      <c r="A412" s="7" t="n">
        <v>410</v>
      </c>
      <c r="B412" s="8" t="n"/>
      <c r="C412" s="9" t="n"/>
      <c r="D412" s="9" t="n"/>
      <c r="E412" s="10" t="n"/>
      <c r="F412" s="9" t="n"/>
      <c r="G412" s="9" t="n"/>
      <c r="H412" s="9" t="n"/>
      <c r="I412" s="9" t="n"/>
      <c r="J412" s="9" t="n"/>
      <c r="K412" s="9" t="n"/>
    </row>
    <row r="413">
      <c r="A413" s="3" t="n">
        <v>411</v>
      </c>
      <c r="B413" s="4" t="n"/>
      <c r="C413" s="5" t="n"/>
      <c r="D413" s="5" t="n"/>
      <c r="E413" s="6" t="n"/>
      <c r="F413" s="5" t="n"/>
      <c r="G413" s="5" t="n"/>
      <c r="H413" s="5" t="n"/>
      <c r="I413" s="5" t="n"/>
      <c r="J413" s="5" t="n"/>
      <c r="K413" s="5" t="n"/>
    </row>
    <row r="414">
      <c r="A414" s="7" t="n">
        <v>412</v>
      </c>
      <c r="B414" s="8" t="n"/>
      <c r="C414" s="9" t="n"/>
      <c r="D414" s="9" t="n"/>
      <c r="E414" s="10" t="n"/>
      <c r="F414" s="9" t="n"/>
      <c r="G414" s="9" t="n"/>
      <c r="H414" s="9" t="n"/>
      <c r="I414" s="9" t="n"/>
      <c r="J414" s="9" t="n"/>
      <c r="K414" s="9" t="n"/>
    </row>
    <row r="415">
      <c r="A415" s="3" t="n">
        <v>413</v>
      </c>
      <c r="B415" s="4" t="n"/>
      <c r="C415" s="5" t="n"/>
      <c r="D415" s="5" t="n"/>
      <c r="E415" s="6" t="n"/>
      <c r="F415" s="5" t="n"/>
      <c r="G415" s="5" t="n"/>
      <c r="H415" s="5" t="n"/>
      <c r="I415" s="5" t="n"/>
      <c r="J415" s="5" t="n"/>
      <c r="K415" s="5" t="n"/>
    </row>
    <row r="416">
      <c r="A416" s="7" t="n">
        <v>414</v>
      </c>
      <c r="B416" s="8" t="n"/>
      <c r="C416" s="9" t="n"/>
      <c r="D416" s="9" t="n"/>
      <c r="E416" s="10" t="n"/>
      <c r="F416" s="9" t="n"/>
      <c r="G416" s="9" t="n"/>
      <c r="H416" s="9" t="n"/>
      <c r="I416" s="9" t="n"/>
      <c r="J416" s="9" t="n"/>
      <c r="K416" s="9" t="n"/>
    </row>
    <row r="417">
      <c r="A417" s="3" t="n">
        <v>415</v>
      </c>
      <c r="B417" s="4" t="n"/>
      <c r="C417" s="5" t="n"/>
      <c r="D417" s="5" t="n"/>
      <c r="E417" s="6" t="n"/>
      <c r="F417" s="5" t="n"/>
      <c r="G417" s="5" t="n"/>
      <c r="H417" s="5" t="n"/>
      <c r="I417" s="5" t="n"/>
      <c r="J417" s="5" t="n"/>
      <c r="K417" s="5" t="n"/>
    </row>
    <row r="418">
      <c r="A418" s="7" t="n">
        <v>416</v>
      </c>
      <c r="B418" s="8" t="n"/>
      <c r="C418" s="9" t="n"/>
      <c r="D418" s="9" t="n"/>
      <c r="E418" s="10" t="n"/>
      <c r="F418" s="9" t="n"/>
      <c r="G418" s="9" t="n"/>
      <c r="H418" s="9" t="n"/>
      <c r="I418" s="9" t="n"/>
      <c r="J418" s="9" t="n"/>
      <c r="K418" s="9" t="n"/>
    </row>
    <row r="419">
      <c r="A419" s="3" t="n">
        <v>417</v>
      </c>
      <c r="B419" s="4" t="n"/>
      <c r="C419" s="5" t="n"/>
      <c r="D419" s="5" t="n"/>
      <c r="E419" s="6" t="n"/>
      <c r="F419" s="5" t="n"/>
      <c r="G419" s="5" t="n"/>
      <c r="H419" s="5" t="n"/>
      <c r="I419" s="5" t="n"/>
      <c r="J419" s="5" t="n"/>
      <c r="K419" s="5" t="n"/>
    </row>
    <row r="420">
      <c r="A420" s="7" t="n">
        <v>418</v>
      </c>
      <c r="B420" s="8" t="n"/>
      <c r="C420" s="9" t="n"/>
      <c r="D420" s="9" t="n"/>
      <c r="E420" s="10" t="n"/>
      <c r="F420" s="9" t="n"/>
      <c r="G420" s="9" t="n"/>
      <c r="H420" s="9" t="n"/>
      <c r="I420" s="9" t="n"/>
      <c r="J420" s="9" t="n"/>
      <c r="K420" s="9" t="n"/>
    </row>
    <row r="421">
      <c r="A421" s="3" t="n">
        <v>419</v>
      </c>
      <c r="B421" s="4" t="n"/>
      <c r="C421" s="5" t="n"/>
      <c r="D421" s="5" t="n"/>
      <c r="E421" s="6" t="n"/>
      <c r="F421" s="5" t="n"/>
      <c r="G421" s="5" t="n"/>
      <c r="H421" s="5" t="n"/>
      <c r="I421" s="5" t="n"/>
      <c r="J421" s="5" t="n"/>
      <c r="K421" s="5" t="n"/>
    </row>
    <row r="422">
      <c r="A422" s="7" t="n">
        <v>420</v>
      </c>
      <c r="B422" s="8" t="n"/>
      <c r="C422" s="9" t="n"/>
      <c r="D422" s="9" t="n"/>
      <c r="E422" s="10" t="n"/>
      <c r="F422" s="9" t="n"/>
      <c r="G422" s="9" t="n"/>
      <c r="H422" s="9" t="n"/>
      <c r="I422" s="9" t="n"/>
      <c r="J422" s="9" t="n"/>
      <c r="K422" s="9" t="n"/>
    </row>
    <row r="423">
      <c r="A423" s="3" t="n">
        <v>421</v>
      </c>
      <c r="B423" s="4" t="n"/>
      <c r="C423" s="5" t="n"/>
      <c r="D423" s="5" t="n"/>
      <c r="E423" s="6" t="n"/>
      <c r="F423" s="5" t="n"/>
      <c r="G423" s="5" t="n"/>
      <c r="H423" s="5" t="n"/>
      <c r="I423" s="5" t="n"/>
      <c r="J423" s="5" t="n"/>
      <c r="K423" s="5" t="n"/>
    </row>
    <row r="424">
      <c r="A424" s="7" t="n">
        <v>422</v>
      </c>
      <c r="B424" s="8" t="n"/>
      <c r="C424" s="9" t="n"/>
      <c r="D424" s="9" t="n"/>
      <c r="E424" s="10" t="n"/>
      <c r="F424" s="9" t="n"/>
      <c r="G424" s="9" t="n"/>
      <c r="H424" s="9" t="n"/>
      <c r="I424" s="9" t="n"/>
      <c r="J424" s="9" t="n"/>
      <c r="K424" s="9" t="n"/>
    </row>
    <row r="425">
      <c r="A425" s="3" t="n">
        <v>423</v>
      </c>
      <c r="B425" s="4" t="n"/>
      <c r="C425" s="5" t="n"/>
      <c r="D425" s="5" t="n"/>
      <c r="E425" s="6" t="n"/>
      <c r="F425" s="5" t="n"/>
      <c r="G425" s="5" t="n"/>
      <c r="H425" s="5" t="n"/>
      <c r="I425" s="5" t="n"/>
      <c r="J425" s="5" t="n"/>
      <c r="K425" s="5" t="n"/>
    </row>
    <row r="426">
      <c r="A426" s="7" t="n">
        <v>424</v>
      </c>
      <c r="B426" s="8" t="n"/>
      <c r="C426" s="9" t="n"/>
      <c r="D426" s="9" t="n"/>
      <c r="E426" s="10" t="n"/>
      <c r="F426" s="9" t="n"/>
      <c r="G426" s="9" t="n"/>
      <c r="H426" s="9" t="n"/>
      <c r="I426" s="9" t="n"/>
      <c r="J426" s="9" t="n"/>
      <c r="K426" s="9" t="n"/>
    </row>
    <row r="427">
      <c r="A427" s="3" t="n">
        <v>425</v>
      </c>
      <c r="B427" s="4" t="n"/>
      <c r="C427" s="5" t="n"/>
      <c r="D427" s="5" t="n"/>
      <c r="E427" s="6" t="n"/>
      <c r="F427" s="5" t="n"/>
      <c r="G427" s="5" t="n"/>
      <c r="H427" s="5" t="n"/>
      <c r="I427" s="5" t="n"/>
      <c r="J427" s="5" t="n"/>
      <c r="K427" s="5" t="n"/>
    </row>
    <row r="428">
      <c r="A428" s="7" t="n">
        <v>426</v>
      </c>
      <c r="B428" s="8" t="n"/>
      <c r="C428" s="9" t="n"/>
      <c r="D428" s="9" t="n"/>
      <c r="E428" s="10" t="n"/>
      <c r="F428" s="9" t="n"/>
      <c r="G428" s="9" t="n"/>
      <c r="H428" s="9" t="n"/>
      <c r="I428" s="9" t="n"/>
      <c r="J428" s="9" t="n"/>
      <c r="K428" s="9" t="n"/>
    </row>
    <row r="429">
      <c r="A429" s="3" t="n">
        <v>427</v>
      </c>
      <c r="B429" s="4" t="n"/>
      <c r="C429" s="5" t="n"/>
      <c r="D429" s="5" t="n"/>
      <c r="E429" s="6" t="n"/>
      <c r="F429" s="5" t="n"/>
      <c r="G429" s="5" t="n"/>
      <c r="H429" s="5" t="n"/>
      <c r="I429" s="5" t="n"/>
      <c r="J429" s="5" t="n"/>
      <c r="K429" s="5" t="n"/>
    </row>
    <row r="430">
      <c r="A430" s="7" t="n">
        <v>428</v>
      </c>
      <c r="B430" s="8" t="n"/>
      <c r="C430" s="9" t="n"/>
      <c r="D430" s="9" t="n"/>
      <c r="E430" s="10" t="n"/>
      <c r="F430" s="9" t="n"/>
      <c r="G430" s="9" t="n"/>
      <c r="H430" s="9" t="n"/>
      <c r="I430" s="9" t="n"/>
      <c r="J430" s="9" t="n"/>
      <c r="K430" s="9" t="n"/>
    </row>
    <row r="431">
      <c r="A431" s="3" t="n">
        <v>429</v>
      </c>
      <c r="B431" s="4" t="n"/>
      <c r="C431" s="5" t="n"/>
      <c r="D431" s="5" t="n"/>
      <c r="E431" s="6" t="n"/>
      <c r="F431" s="5" t="n"/>
      <c r="G431" s="5" t="n"/>
      <c r="H431" s="5" t="n"/>
      <c r="I431" s="5" t="n"/>
      <c r="J431" s="5" t="n"/>
      <c r="K431" s="5" t="n"/>
    </row>
    <row r="432">
      <c r="A432" s="7" t="n">
        <v>430</v>
      </c>
      <c r="B432" s="8" t="n"/>
      <c r="C432" s="9" t="n"/>
      <c r="D432" s="9" t="n"/>
      <c r="E432" s="10" t="n"/>
      <c r="F432" s="9" t="n"/>
      <c r="G432" s="9" t="n"/>
      <c r="H432" s="9" t="n"/>
      <c r="I432" s="9" t="n"/>
      <c r="J432" s="9" t="n"/>
      <c r="K432" s="9" t="n"/>
    </row>
    <row r="433">
      <c r="A433" s="3" t="n">
        <v>431</v>
      </c>
      <c r="B433" s="4" t="n"/>
      <c r="C433" s="5" t="n"/>
      <c r="D433" s="5" t="n"/>
      <c r="E433" s="6" t="n"/>
      <c r="F433" s="5" t="n"/>
      <c r="G433" s="5" t="n"/>
      <c r="H433" s="5" t="n"/>
      <c r="I433" s="5" t="n"/>
      <c r="J433" s="5" t="n"/>
      <c r="K433" s="5" t="n"/>
    </row>
    <row r="434">
      <c r="A434" s="7" t="n">
        <v>432</v>
      </c>
      <c r="B434" s="8" t="n"/>
      <c r="C434" s="9" t="n"/>
      <c r="D434" s="9" t="n"/>
      <c r="E434" s="10" t="n"/>
      <c r="F434" s="9" t="n"/>
      <c r="G434" s="9" t="n"/>
      <c r="H434" s="9" t="n"/>
      <c r="I434" s="9" t="n"/>
      <c r="J434" s="9" t="n"/>
      <c r="K434" s="9" t="n"/>
    </row>
    <row r="435">
      <c r="A435" s="3" t="n">
        <v>433</v>
      </c>
      <c r="B435" s="4" t="n"/>
      <c r="C435" s="5" t="n"/>
      <c r="D435" s="5" t="n"/>
      <c r="E435" s="6" t="n"/>
      <c r="F435" s="5" t="n"/>
      <c r="G435" s="5" t="n"/>
      <c r="H435" s="5" t="n"/>
      <c r="I435" s="5" t="n"/>
      <c r="J435" s="5" t="n"/>
      <c r="K435" s="5" t="n"/>
    </row>
    <row r="436">
      <c r="A436" s="7" t="n">
        <v>434</v>
      </c>
      <c r="B436" s="8" t="n"/>
      <c r="C436" s="9" t="n"/>
      <c r="D436" s="9" t="n"/>
      <c r="E436" s="10" t="n"/>
      <c r="F436" s="9" t="n"/>
      <c r="G436" s="9" t="n"/>
      <c r="H436" s="9" t="n"/>
      <c r="I436" s="9" t="n"/>
      <c r="J436" s="9" t="n"/>
      <c r="K436" s="9" t="n"/>
    </row>
    <row r="437">
      <c r="A437" s="3" t="n">
        <v>435</v>
      </c>
      <c r="B437" s="4" t="n"/>
      <c r="C437" s="5" t="n"/>
      <c r="D437" s="5" t="n"/>
      <c r="E437" s="6" t="n"/>
      <c r="F437" s="5" t="n"/>
      <c r="G437" s="5" t="n"/>
      <c r="H437" s="5" t="n"/>
      <c r="I437" s="5" t="n"/>
      <c r="J437" s="5" t="n"/>
      <c r="K437" s="5" t="n"/>
    </row>
    <row r="438">
      <c r="A438" s="7" t="n">
        <v>436</v>
      </c>
      <c r="B438" s="8" t="n"/>
      <c r="C438" s="9" t="n"/>
      <c r="D438" s="9" t="n"/>
      <c r="E438" s="10" t="n"/>
      <c r="F438" s="9" t="n"/>
      <c r="G438" s="9" t="n"/>
      <c r="H438" s="9" t="n"/>
      <c r="I438" s="9" t="n"/>
      <c r="J438" s="9" t="n"/>
      <c r="K438" s="9" t="n"/>
    </row>
    <row r="439">
      <c r="A439" s="3" t="n">
        <v>437</v>
      </c>
      <c r="B439" s="4" t="n"/>
      <c r="C439" s="5" t="n"/>
      <c r="D439" s="5" t="n"/>
      <c r="E439" s="6" t="n"/>
      <c r="F439" s="5" t="n"/>
      <c r="G439" s="5" t="n"/>
      <c r="H439" s="5" t="n"/>
      <c r="I439" s="5" t="n"/>
      <c r="J439" s="5" t="n"/>
      <c r="K439" s="5" t="n"/>
    </row>
    <row r="440">
      <c r="A440" s="7" t="n">
        <v>438</v>
      </c>
      <c r="B440" s="8" t="n"/>
      <c r="C440" s="9" t="n"/>
      <c r="D440" s="9" t="n"/>
      <c r="E440" s="10" t="n"/>
      <c r="F440" s="9" t="n"/>
      <c r="G440" s="9" t="n"/>
      <c r="H440" s="9" t="n"/>
      <c r="I440" s="9" t="n"/>
      <c r="J440" s="9" t="n"/>
      <c r="K440" s="9" t="n"/>
    </row>
    <row r="441">
      <c r="A441" s="3" t="n">
        <v>439</v>
      </c>
      <c r="B441" s="4" t="n"/>
      <c r="C441" s="5" t="n"/>
      <c r="D441" s="5" t="n"/>
      <c r="E441" s="6" t="n"/>
      <c r="F441" s="5" t="n"/>
      <c r="G441" s="5" t="n"/>
      <c r="H441" s="5" t="n"/>
      <c r="I441" s="5" t="n"/>
      <c r="J441" s="5" t="n"/>
      <c r="K441" s="5" t="n"/>
    </row>
    <row r="442">
      <c r="A442" s="7" t="n">
        <v>440</v>
      </c>
      <c r="B442" s="8" t="n"/>
      <c r="C442" s="9" t="n"/>
      <c r="D442" s="9" t="n"/>
      <c r="E442" s="10" t="n"/>
      <c r="F442" s="9" t="n"/>
      <c r="G442" s="9" t="n"/>
      <c r="H442" s="9" t="n"/>
      <c r="I442" s="9" t="n"/>
      <c r="J442" s="9" t="n"/>
      <c r="K442" s="9" t="n"/>
    </row>
    <row r="443">
      <c r="A443" s="3" t="n">
        <v>441</v>
      </c>
      <c r="B443" s="4" t="n"/>
      <c r="C443" s="5" t="n"/>
      <c r="D443" s="5" t="n"/>
      <c r="E443" s="6" t="n"/>
      <c r="F443" s="5" t="n"/>
      <c r="G443" s="5" t="n"/>
      <c r="H443" s="5" t="n"/>
      <c r="I443" s="5" t="n"/>
      <c r="J443" s="5" t="n"/>
      <c r="K443" s="5" t="n"/>
    </row>
    <row r="444">
      <c r="A444" s="7" t="n">
        <v>442</v>
      </c>
      <c r="B444" s="8" t="n"/>
      <c r="C444" s="9" t="n"/>
      <c r="D444" s="9" t="n"/>
      <c r="E444" s="10" t="n"/>
      <c r="F444" s="9" t="n"/>
      <c r="G444" s="9" t="n"/>
      <c r="H444" s="9" t="n"/>
      <c r="I444" s="9" t="n"/>
      <c r="J444" s="9" t="n"/>
      <c r="K444" s="9" t="n"/>
    </row>
    <row r="445">
      <c r="A445" s="3" t="n">
        <v>443</v>
      </c>
      <c r="B445" s="4" t="n"/>
      <c r="C445" s="5" t="n"/>
      <c r="D445" s="5" t="n"/>
      <c r="E445" s="6" t="n"/>
      <c r="F445" s="5" t="n"/>
      <c r="G445" s="5" t="n"/>
      <c r="H445" s="5" t="n"/>
      <c r="I445" s="5" t="n"/>
      <c r="J445" s="5" t="n"/>
      <c r="K445" s="5" t="n"/>
    </row>
    <row r="446">
      <c r="A446" s="7" t="n">
        <v>444</v>
      </c>
      <c r="B446" s="8" t="n"/>
      <c r="C446" s="9" t="n"/>
      <c r="D446" s="9" t="n"/>
      <c r="E446" s="10" t="n"/>
      <c r="F446" s="9" t="n"/>
      <c r="G446" s="9" t="n"/>
      <c r="H446" s="9" t="n"/>
      <c r="I446" s="9" t="n"/>
      <c r="J446" s="9" t="n"/>
      <c r="K446" s="9" t="n"/>
    </row>
    <row r="447">
      <c r="A447" s="3" t="n">
        <v>445</v>
      </c>
      <c r="B447" s="4" t="n"/>
      <c r="C447" s="5" t="n"/>
      <c r="D447" s="5" t="n"/>
      <c r="E447" s="6" t="n"/>
      <c r="F447" s="5" t="n"/>
      <c r="G447" s="5" t="n"/>
      <c r="H447" s="5" t="n"/>
      <c r="I447" s="5" t="n"/>
      <c r="J447" s="5" t="n"/>
      <c r="K447" s="5" t="n"/>
    </row>
    <row r="448">
      <c r="A448" s="7" t="n">
        <v>446</v>
      </c>
      <c r="B448" s="8" t="n"/>
      <c r="C448" s="9" t="n"/>
      <c r="D448" s="9" t="n"/>
      <c r="E448" s="10" t="n"/>
      <c r="F448" s="9" t="n"/>
      <c r="G448" s="9" t="n"/>
      <c r="H448" s="9" t="n"/>
      <c r="I448" s="9" t="n"/>
      <c r="J448" s="9" t="n"/>
      <c r="K448" s="9" t="n"/>
    </row>
    <row r="449">
      <c r="A449" s="3" t="n">
        <v>447</v>
      </c>
      <c r="B449" s="4" t="n"/>
      <c r="C449" s="5" t="n"/>
      <c r="D449" s="5" t="n"/>
      <c r="E449" s="6" t="n"/>
      <c r="F449" s="5" t="n"/>
      <c r="G449" s="5" t="n"/>
      <c r="H449" s="5" t="n"/>
      <c r="I449" s="5" t="n"/>
      <c r="J449" s="5" t="n"/>
      <c r="K449" s="5" t="n"/>
    </row>
    <row r="450">
      <c r="A450" s="7" t="n">
        <v>448</v>
      </c>
      <c r="B450" s="8" t="n"/>
      <c r="C450" s="9" t="n"/>
      <c r="D450" s="9" t="n"/>
      <c r="E450" s="10" t="n"/>
      <c r="F450" s="9" t="n"/>
      <c r="G450" s="9" t="n"/>
      <c r="H450" s="9" t="n"/>
      <c r="I450" s="9" t="n"/>
      <c r="J450" s="9" t="n"/>
      <c r="K450" s="9" t="n"/>
    </row>
    <row r="451">
      <c r="A451" s="3" t="n">
        <v>449</v>
      </c>
      <c r="B451" s="4" t="n"/>
      <c r="C451" s="5" t="n"/>
      <c r="D451" s="5" t="n"/>
      <c r="E451" s="6" t="n"/>
      <c r="F451" s="5" t="n"/>
      <c r="G451" s="5" t="n"/>
      <c r="H451" s="5" t="n"/>
      <c r="I451" s="5" t="n"/>
      <c r="J451" s="5" t="n"/>
      <c r="K451" s="5" t="n"/>
    </row>
    <row r="452">
      <c r="A452" s="7" t="n">
        <v>450</v>
      </c>
      <c r="B452" s="8" t="n"/>
      <c r="C452" s="9" t="n"/>
      <c r="D452" s="9" t="n"/>
      <c r="E452" s="10" t="n"/>
      <c r="F452" s="9" t="n"/>
      <c r="G452" s="9" t="n"/>
      <c r="H452" s="9" t="n"/>
      <c r="I452" s="9" t="n"/>
      <c r="J452" s="9" t="n"/>
      <c r="K452" s="9" t="n"/>
    </row>
    <row r="453">
      <c r="A453" s="3" t="n">
        <v>451</v>
      </c>
      <c r="B453" s="4" t="n"/>
      <c r="C453" s="5" t="n"/>
      <c r="D453" s="5" t="n"/>
      <c r="E453" s="6" t="n"/>
      <c r="F453" s="5" t="n"/>
      <c r="G453" s="5" t="n"/>
      <c r="H453" s="5" t="n"/>
      <c r="I453" s="5" t="n"/>
      <c r="J453" s="5" t="n"/>
      <c r="K453" s="5" t="n"/>
    </row>
    <row r="454">
      <c r="A454" s="7" t="n">
        <v>452</v>
      </c>
      <c r="B454" s="8" t="n"/>
      <c r="C454" s="9" t="n"/>
      <c r="D454" s="9" t="n"/>
      <c r="E454" s="10" t="n"/>
      <c r="F454" s="9" t="n"/>
      <c r="G454" s="9" t="n"/>
      <c r="H454" s="9" t="n"/>
      <c r="I454" s="9" t="n"/>
      <c r="J454" s="9" t="n"/>
      <c r="K454" s="9" t="n"/>
    </row>
    <row r="455">
      <c r="A455" s="3" t="n">
        <v>453</v>
      </c>
      <c r="B455" s="4" t="n"/>
      <c r="C455" s="5" t="n"/>
      <c r="D455" s="5" t="n"/>
      <c r="E455" s="6" t="n"/>
      <c r="F455" s="5" t="n"/>
      <c r="G455" s="5" t="n"/>
      <c r="H455" s="5" t="n"/>
      <c r="I455" s="5" t="n"/>
      <c r="J455" s="5" t="n"/>
      <c r="K455" s="5" t="n"/>
    </row>
    <row r="456">
      <c r="A456" s="7" t="n">
        <v>454</v>
      </c>
      <c r="B456" s="8" t="n"/>
      <c r="C456" s="9" t="n"/>
      <c r="D456" s="9" t="n"/>
      <c r="E456" s="10" t="n"/>
      <c r="F456" s="9" t="n"/>
      <c r="G456" s="9" t="n"/>
      <c r="H456" s="9" t="n"/>
      <c r="I456" s="9" t="n"/>
      <c r="J456" s="9" t="n"/>
      <c r="K456" s="9" t="n"/>
    </row>
    <row r="457">
      <c r="A457" s="3" t="n">
        <v>455</v>
      </c>
      <c r="B457" s="4" t="n"/>
      <c r="C457" s="5" t="n"/>
      <c r="D457" s="5" t="n"/>
      <c r="E457" s="6" t="n"/>
      <c r="F457" s="5" t="n"/>
      <c r="G457" s="5" t="n"/>
      <c r="H457" s="5" t="n"/>
      <c r="I457" s="5" t="n"/>
      <c r="J457" s="5" t="n"/>
      <c r="K457" s="5" t="n"/>
    </row>
    <row r="458">
      <c r="A458" s="7" t="n">
        <v>456</v>
      </c>
      <c r="B458" s="8" t="n"/>
      <c r="C458" s="9" t="n"/>
      <c r="D458" s="9" t="n"/>
      <c r="E458" s="10" t="n"/>
      <c r="F458" s="9" t="n"/>
      <c r="G458" s="9" t="n"/>
      <c r="H458" s="9" t="n"/>
      <c r="I458" s="9" t="n"/>
      <c r="J458" s="9" t="n"/>
      <c r="K458" s="9" t="n"/>
    </row>
    <row r="459">
      <c r="A459" s="3" t="n">
        <v>457</v>
      </c>
      <c r="B459" s="4" t="n"/>
      <c r="C459" s="5" t="n"/>
      <c r="D459" s="5" t="n"/>
      <c r="E459" s="6" t="n"/>
      <c r="F459" s="5" t="n"/>
      <c r="G459" s="5" t="n"/>
      <c r="H459" s="5" t="n"/>
      <c r="I459" s="5" t="n"/>
      <c r="J459" s="5" t="n"/>
      <c r="K459" s="5" t="n"/>
    </row>
    <row r="460">
      <c r="A460" s="7" t="n">
        <v>458</v>
      </c>
      <c r="B460" s="8" t="n"/>
      <c r="C460" s="9" t="n"/>
      <c r="D460" s="9" t="n"/>
      <c r="E460" s="10" t="n"/>
      <c r="F460" s="9" t="n"/>
      <c r="G460" s="9" t="n"/>
      <c r="H460" s="9" t="n"/>
      <c r="I460" s="9" t="n"/>
      <c r="J460" s="9" t="n"/>
      <c r="K460" s="9" t="n"/>
    </row>
    <row r="461">
      <c r="A461" s="3" t="n">
        <v>459</v>
      </c>
      <c r="B461" s="4" t="n"/>
      <c r="C461" s="5" t="n"/>
      <c r="D461" s="5" t="n"/>
      <c r="E461" s="6" t="n"/>
      <c r="F461" s="5" t="n"/>
      <c r="G461" s="5" t="n"/>
      <c r="H461" s="5" t="n"/>
      <c r="I461" s="5" t="n"/>
      <c r="J461" s="5" t="n"/>
      <c r="K461" s="5" t="n"/>
    </row>
    <row r="462">
      <c r="A462" s="7" t="n">
        <v>460</v>
      </c>
      <c r="B462" s="8" t="n"/>
      <c r="C462" s="9" t="n"/>
      <c r="D462" s="9" t="n"/>
      <c r="E462" s="10" t="n"/>
      <c r="F462" s="9" t="n"/>
      <c r="G462" s="9" t="n"/>
      <c r="H462" s="9" t="n"/>
      <c r="I462" s="9" t="n"/>
      <c r="J462" s="9" t="n"/>
      <c r="K462" s="9" t="n"/>
    </row>
    <row r="463">
      <c r="A463" s="3" t="n">
        <v>461</v>
      </c>
      <c r="B463" s="4" t="n"/>
      <c r="C463" s="5" t="n"/>
      <c r="D463" s="5" t="n"/>
      <c r="E463" s="6" t="n"/>
      <c r="F463" s="5" t="n"/>
      <c r="G463" s="5" t="n"/>
      <c r="H463" s="5" t="n"/>
      <c r="I463" s="5" t="n"/>
      <c r="J463" s="5" t="n"/>
      <c r="K463" s="5" t="n"/>
    </row>
    <row r="464">
      <c r="A464" s="7" t="n">
        <v>462</v>
      </c>
      <c r="B464" s="8" t="n"/>
      <c r="C464" s="9" t="n"/>
      <c r="D464" s="9" t="n"/>
      <c r="E464" s="10" t="n"/>
      <c r="F464" s="9" t="n"/>
      <c r="G464" s="9" t="n"/>
      <c r="H464" s="9" t="n"/>
      <c r="I464" s="9" t="n"/>
      <c r="J464" s="9" t="n"/>
      <c r="K464" s="9" t="n"/>
    </row>
    <row r="465">
      <c r="A465" s="3" t="n">
        <v>463</v>
      </c>
      <c r="B465" s="4" t="n"/>
      <c r="C465" s="5" t="n"/>
      <c r="D465" s="5" t="n"/>
      <c r="E465" s="6" t="n"/>
      <c r="F465" s="5" t="n"/>
      <c r="G465" s="5" t="n"/>
      <c r="H465" s="5" t="n"/>
      <c r="I465" s="5" t="n"/>
      <c r="J465" s="5" t="n"/>
      <c r="K465" s="5" t="n"/>
    </row>
    <row r="466">
      <c r="A466" s="7" t="n">
        <v>464</v>
      </c>
      <c r="B466" s="8" t="n"/>
      <c r="C466" s="9" t="n"/>
      <c r="D466" s="9" t="n"/>
      <c r="E466" s="10" t="n"/>
      <c r="F466" s="9" t="n"/>
      <c r="G466" s="9" t="n"/>
      <c r="H466" s="9" t="n"/>
      <c r="I466" s="9" t="n"/>
      <c r="J466" s="9" t="n"/>
      <c r="K466" s="9" t="n"/>
    </row>
    <row r="467">
      <c r="A467" s="3" t="n">
        <v>465</v>
      </c>
      <c r="B467" s="4" t="n"/>
      <c r="C467" s="5" t="n"/>
      <c r="D467" s="5" t="n"/>
      <c r="E467" s="6" t="n"/>
      <c r="F467" s="5" t="n"/>
      <c r="G467" s="5" t="n"/>
      <c r="H467" s="5" t="n"/>
      <c r="I467" s="5" t="n"/>
      <c r="J467" s="5" t="n"/>
      <c r="K467" s="5" t="n"/>
    </row>
    <row r="468">
      <c r="A468" s="7" t="n">
        <v>466</v>
      </c>
      <c r="B468" s="8" t="n"/>
      <c r="C468" s="9" t="n"/>
      <c r="D468" s="9" t="n"/>
      <c r="E468" s="10" t="n"/>
      <c r="F468" s="9" t="n"/>
      <c r="G468" s="9" t="n"/>
      <c r="H468" s="9" t="n"/>
      <c r="I468" s="9" t="n"/>
      <c r="J468" s="9" t="n"/>
      <c r="K468" s="9" t="n"/>
    </row>
    <row r="469">
      <c r="A469" s="3" t="n">
        <v>467</v>
      </c>
      <c r="B469" s="4" t="n"/>
      <c r="C469" s="5" t="n"/>
      <c r="D469" s="5" t="n"/>
      <c r="E469" s="6" t="n"/>
      <c r="F469" s="5" t="n"/>
      <c r="G469" s="5" t="n"/>
      <c r="H469" s="5" t="n"/>
      <c r="I469" s="5" t="n"/>
      <c r="J469" s="5" t="n"/>
      <c r="K469" s="5" t="n"/>
    </row>
    <row r="470">
      <c r="A470" s="7" t="n">
        <v>468</v>
      </c>
      <c r="B470" s="8" t="n"/>
      <c r="C470" s="9" t="n"/>
      <c r="D470" s="9" t="n"/>
      <c r="E470" s="10" t="n"/>
      <c r="F470" s="9" t="n"/>
      <c r="G470" s="9" t="n"/>
      <c r="H470" s="9" t="n"/>
      <c r="I470" s="9" t="n"/>
      <c r="J470" s="9" t="n"/>
      <c r="K470" s="9" t="n"/>
    </row>
    <row r="471">
      <c r="A471" s="3" t="n">
        <v>469</v>
      </c>
      <c r="B471" s="4" t="n"/>
      <c r="C471" s="5" t="n"/>
      <c r="D471" s="5" t="n"/>
      <c r="E471" s="6" t="n"/>
      <c r="F471" s="5" t="n"/>
      <c r="G471" s="5" t="n"/>
      <c r="H471" s="5" t="n"/>
      <c r="I471" s="5" t="n"/>
      <c r="J471" s="5" t="n"/>
      <c r="K471" s="5" t="n"/>
    </row>
    <row r="472">
      <c r="A472" s="7" t="n">
        <v>470</v>
      </c>
      <c r="B472" s="8" t="n"/>
      <c r="C472" s="9" t="n"/>
      <c r="D472" s="9" t="n"/>
      <c r="E472" s="10" t="n"/>
      <c r="F472" s="9" t="n"/>
      <c r="G472" s="9" t="n"/>
      <c r="H472" s="9" t="n"/>
      <c r="I472" s="9" t="n"/>
      <c r="J472" s="9" t="n"/>
      <c r="K472" s="9" t="n"/>
    </row>
    <row r="473">
      <c r="A473" s="3" t="n">
        <v>471</v>
      </c>
      <c r="B473" s="4" t="n"/>
      <c r="C473" s="5" t="n"/>
      <c r="D473" s="5" t="n"/>
      <c r="E473" s="6" t="n"/>
      <c r="F473" s="5" t="n"/>
      <c r="G473" s="5" t="n"/>
      <c r="H473" s="5" t="n"/>
      <c r="I473" s="5" t="n"/>
      <c r="J473" s="5" t="n"/>
      <c r="K473" s="5" t="n"/>
    </row>
    <row r="474">
      <c r="A474" s="7" t="n">
        <v>472</v>
      </c>
      <c r="B474" s="8" t="n"/>
      <c r="C474" s="9" t="n"/>
      <c r="D474" s="9" t="n"/>
      <c r="E474" s="10" t="n"/>
      <c r="F474" s="9" t="n"/>
      <c r="G474" s="9" t="n"/>
      <c r="H474" s="9" t="n"/>
      <c r="I474" s="9" t="n"/>
      <c r="J474" s="9" t="n"/>
      <c r="K474" s="9" t="n"/>
    </row>
    <row r="475">
      <c r="A475" s="3" t="n">
        <v>473</v>
      </c>
      <c r="B475" s="4" t="n"/>
      <c r="C475" s="5" t="n"/>
      <c r="D475" s="5" t="n"/>
      <c r="E475" s="6" t="n"/>
      <c r="F475" s="5" t="n"/>
      <c r="G475" s="5" t="n"/>
      <c r="H475" s="5" t="n"/>
      <c r="I475" s="5" t="n"/>
      <c r="J475" s="5" t="n"/>
      <c r="K475" s="5" t="n"/>
    </row>
    <row r="476">
      <c r="A476" s="7" t="n">
        <v>474</v>
      </c>
      <c r="B476" s="8" t="n"/>
      <c r="C476" s="9" t="n"/>
      <c r="D476" s="9" t="n"/>
      <c r="E476" s="10" t="n"/>
      <c r="F476" s="9" t="n"/>
      <c r="G476" s="9" t="n"/>
      <c r="H476" s="9" t="n"/>
      <c r="I476" s="9" t="n"/>
      <c r="J476" s="9" t="n"/>
      <c r="K476" s="9" t="n"/>
    </row>
    <row r="477">
      <c r="A477" s="3" t="n">
        <v>475</v>
      </c>
      <c r="B477" s="4" t="n"/>
      <c r="C477" s="5" t="n"/>
      <c r="D477" s="5" t="n"/>
      <c r="E477" s="6" t="n"/>
      <c r="F477" s="5" t="n"/>
      <c r="G477" s="5" t="n"/>
      <c r="H477" s="5" t="n"/>
      <c r="I477" s="5" t="n"/>
      <c r="J477" s="5" t="n"/>
      <c r="K477" s="5" t="n"/>
    </row>
    <row r="478">
      <c r="A478" s="7" t="n">
        <v>476</v>
      </c>
      <c r="B478" s="8" t="n"/>
      <c r="C478" s="9" t="n"/>
      <c r="D478" s="9" t="n"/>
      <c r="E478" s="10" t="n"/>
      <c r="F478" s="9" t="n"/>
      <c r="G478" s="9" t="n"/>
      <c r="H478" s="9" t="n"/>
      <c r="I478" s="9" t="n"/>
      <c r="J478" s="9" t="n"/>
      <c r="K478" s="9" t="n"/>
    </row>
    <row r="479">
      <c r="A479" s="3" t="n">
        <v>477</v>
      </c>
      <c r="B479" s="4" t="n"/>
      <c r="C479" s="5" t="n"/>
      <c r="D479" s="5" t="n"/>
      <c r="E479" s="6" t="n"/>
      <c r="F479" s="5" t="n"/>
      <c r="G479" s="5" t="n"/>
      <c r="H479" s="5" t="n"/>
      <c r="I479" s="5" t="n"/>
      <c r="J479" s="5" t="n"/>
      <c r="K479" s="5" t="n"/>
    </row>
    <row r="480">
      <c r="A480" s="7" t="n">
        <v>478</v>
      </c>
      <c r="B480" s="8" t="n"/>
      <c r="C480" s="9" t="n"/>
      <c r="D480" s="9" t="n"/>
      <c r="E480" s="10" t="n"/>
      <c r="F480" s="9" t="n"/>
      <c r="G480" s="9" t="n"/>
      <c r="H480" s="9" t="n"/>
      <c r="I480" s="9" t="n"/>
      <c r="J480" s="9" t="n"/>
      <c r="K480" s="9" t="n"/>
    </row>
    <row r="481">
      <c r="A481" s="3" t="n">
        <v>479</v>
      </c>
      <c r="B481" s="4" t="n"/>
      <c r="C481" s="5" t="n"/>
      <c r="D481" s="5" t="n"/>
      <c r="E481" s="6" t="n"/>
      <c r="F481" s="5" t="n"/>
      <c r="G481" s="5" t="n"/>
      <c r="H481" s="5" t="n"/>
      <c r="I481" s="5" t="n"/>
      <c r="J481" s="5" t="n"/>
      <c r="K481" s="5" t="n"/>
    </row>
    <row r="482">
      <c r="A482" s="7" t="n">
        <v>480</v>
      </c>
      <c r="B482" s="8" t="n"/>
      <c r="C482" s="9" t="n"/>
      <c r="D482" s="9" t="n"/>
      <c r="E482" s="10" t="n"/>
      <c r="F482" s="9" t="n"/>
      <c r="G482" s="9" t="n"/>
      <c r="H482" s="9" t="n"/>
      <c r="I482" s="9" t="n"/>
      <c r="J482" s="9" t="n"/>
      <c r="K482" s="9" t="n"/>
    </row>
    <row r="483">
      <c r="A483" s="3" t="n">
        <v>481</v>
      </c>
      <c r="B483" s="4" t="n"/>
      <c r="C483" s="5" t="n"/>
      <c r="D483" s="5" t="n"/>
      <c r="E483" s="6" t="n"/>
      <c r="F483" s="5" t="n"/>
      <c r="G483" s="5" t="n"/>
      <c r="H483" s="5" t="n"/>
      <c r="I483" s="5" t="n"/>
      <c r="J483" s="5" t="n"/>
      <c r="K483" s="5" t="n"/>
    </row>
    <row r="484">
      <c r="A484" s="7" t="n">
        <v>482</v>
      </c>
      <c r="B484" s="8" t="n"/>
      <c r="C484" s="9" t="n"/>
      <c r="D484" s="9" t="n"/>
      <c r="E484" s="10" t="n"/>
      <c r="F484" s="9" t="n"/>
      <c r="G484" s="9" t="n"/>
      <c r="H484" s="9" t="n"/>
      <c r="I484" s="9" t="n"/>
      <c r="J484" s="9" t="n"/>
      <c r="K484" s="9" t="n"/>
    </row>
    <row r="485">
      <c r="A485" s="3" t="n">
        <v>483</v>
      </c>
      <c r="B485" s="4" t="n"/>
      <c r="C485" s="5" t="n"/>
      <c r="D485" s="5" t="n"/>
      <c r="E485" s="6" t="n"/>
      <c r="F485" s="5" t="n"/>
      <c r="G485" s="5" t="n"/>
      <c r="H485" s="5" t="n"/>
      <c r="I485" s="5" t="n"/>
      <c r="J485" s="5" t="n"/>
      <c r="K485" s="5" t="n"/>
    </row>
    <row r="486">
      <c r="A486" s="7" t="n">
        <v>484</v>
      </c>
      <c r="B486" s="8" t="n"/>
      <c r="C486" s="9" t="n"/>
      <c r="D486" s="9" t="n"/>
      <c r="E486" s="10" t="n"/>
      <c r="F486" s="9" t="n"/>
      <c r="G486" s="9" t="n"/>
      <c r="H486" s="9" t="n"/>
      <c r="I486" s="9" t="n"/>
      <c r="J486" s="9" t="n"/>
      <c r="K486" s="9" t="n"/>
    </row>
    <row r="487">
      <c r="A487" s="3" t="n">
        <v>485</v>
      </c>
      <c r="B487" s="4" t="n"/>
      <c r="C487" s="5" t="n"/>
      <c r="D487" s="5" t="n"/>
      <c r="E487" s="6" t="n"/>
      <c r="F487" s="5" t="n"/>
      <c r="G487" s="5" t="n"/>
      <c r="H487" s="5" t="n"/>
      <c r="I487" s="5" t="n"/>
      <c r="J487" s="5" t="n"/>
      <c r="K487" s="5" t="n"/>
    </row>
    <row r="488">
      <c r="A488" s="7" t="n">
        <v>486</v>
      </c>
      <c r="B488" s="8" t="n"/>
      <c r="C488" s="9" t="n"/>
      <c r="D488" s="9" t="n"/>
      <c r="E488" s="10" t="n"/>
      <c r="F488" s="9" t="n"/>
      <c r="G488" s="9" t="n"/>
      <c r="H488" s="9" t="n"/>
      <c r="I488" s="9" t="n"/>
      <c r="J488" s="9" t="n"/>
      <c r="K488" s="9" t="n"/>
    </row>
    <row r="489">
      <c r="A489" s="3" t="n">
        <v>487</v>
      </c>
      <c r="B489" s="4" t="n"/>
      <c r="C489" s="5" t="n"/>
      <c r="D489" s="5" t="n"/>
      <c r="E489" s="6" t="n"/>
      <c r="F489" s="5" t="n"/>
      <c r="G489" s="5" t="n"/>
      <c r="H489" s="5" t="n"/>
      <c r="I489" s="5" t="n"/>
      <c r="J489" s="5" t="n"/>
      <c r="K489" s="5" t="n"/>
    </row>
    <row r="490">
      <c r="A490" s="7" t="n">
        <v>488</v>
      </c>
      <c r="B490" s="8" t="n"/>
      <c r="C490" s="9" t="n"/>
      <c r="D490" s="9" t="n"/>
      <c r="E490" s="10" t="n"/>
      <c r="F490" s="9" t="n"/>
      <c r="G490" s="9" t="n"/>
      <c r="H490" s="9" t="n"/>
      <c r="I490" s="9" t="n"/>
      <c r="J490" s="9" t="n"/>
      <c r="K490" s="9" t="n"/>
    </row>
    <row r="491">
      <c r="A491" s="3" t="n">
        <v>489</v>
      </c>
      <c r="B491" s="4" t="n"/>
      <c r="C491" s="5" t="n"/>
      <c r="D491" s="5" t="n"/>
      <c r="E491" s="6" t="n"/>
      <c r="F491" s="5" t="n"/>
      <c r="G491" s="5" t="n"/>
      <c r="H491" s="5" t="n"/>
      <c r="I491" s="5" t="n"/>
      <c r="J491" s="5" t="n"/>
      <c r="K491" s="5" t="n"/>
    </row>
    <row r="492">
      <c r="A492" s="7" t="n">
        <v>490</v>
      </c>
      <c r="B492" s="8" t="n"/>
      <c r="C492" s="9" t="n"/>
      <c r="D492" s="9" t="n"/>
      <c r="E492" s="10" t="n"/>
      <c r="F492" s="9" t="n"/>
      <c r="G492" s="9" t="n"/>
      <c r="H492" s="9" t="n"/>
      <c r="I492" s="9" t="n"/>
      <c r="J492" s="9" t="n"/>
      <c r="K492" s="9" t="n"/>
    </row>
    <row r="493">
      <c r="A493" s="3" t="n">
        <v>491</v>
      </c>
      <c r="B493" s="4" t="n"/>
      <c r="C493" s="5" t="n"/>
      <c r="D493" s="5" t="n"/>
      <c r="E493" s="6" t="n"/>
      <c r="F493" s="5" t="n"/>
      <c r="G493" s="5" t="n"/>
      <c r="H493" s="5" t="n"/>
      <c r="I493" s="5" t="n"/>
      <c r="J493" s="5" t="n"/>
      <c r="K493" s="5" t="n"/>
    </row>
    <row r="494">
      <c r="A494" s="7" t="n">
        <v>492</v>
      </c>
      <c r="B494" s="8" t="n"/>
      <c r="C494" s="9" t="n"/>
      <c r="D494" s="9" t="n"/>
      <c r="E494" s="10" t="n"/>
      <c r="F494" s="9" t="n"/>
      <c r="G494" s="9" t="n"/>
      <c r="H494" s="9" t="n"/>
      <c r="I494" s="9" t="n"/>
      <c r="J494" s="9" t="n"/>
      <c r="K494" s="9" t="n"/>
    </row>
    <row r="495">
      <c r="A495" s="3" t="n">
        <v>493</v>
      </c>
      <c r="B495" s="4" t="n"/>
      <c r="C495" s="5" t="n"/>
      <c r="D495" s="5" t="n"/>
      <c r="E495" s="6" t="n"/>
      <c r="F495" s="5" t="n"/>
      <c r="G495" s="5" t="n"/>
      <c r="H495" s="5" t="n"/>
      <c r="I495" s="5" t="n"/>
      <c r="J495" s="5" t="n"/>
      <c r="K495" s="5" t="n"/>
    </row>
    <row r="496">
      <c r="A496" s="7" t="n">
        <v>494</v>
      </c>
      <c r="B496" s="8" t="n"/>
      <c r="C496" s="9" t="n"/>
      <c r="D496" s="9" t="n"/>
      <c r="E496" s="10" t="n"/>
      <c r="F496" s="9" t="n"/>
      <c r="G496" s="9" t="n"/>
      <c r="H496" s="9" t="n"/>
      <c r="I496" s="9" t="n"/>
      <c r="J496" s="9" t="n"/>
      <c r="K496" s="9" t="n"/>
    </row>
    <row r="497">
      <c r="A497" s="3" t="n">
        <v>495</v>
      </c>
      <c r="B497" s="4" t="n"/>
      <c r="C497" s="5" t="n"/>
      <c r="D497" s="5" t="n"/>
      <c r="E497" s="6" t="n"/>
      <c r="F497" s="5" t="n"/>
      <c r="G497" s="5" t="n"/>
      <c r="H497" s="5" t="n"/>
      <c r="I497" s="5" t="n"/>
      <c r="J497" s="5" t="n"/>
      <c r="K497" s="5" t="n"/>
    </row>
    <row r="498">
      <c r="A498" s="7" t="n">
        <v>496</v>
      </c>
      <c r="B498" s="8" t="n"/>
      <c r="C498" s="9" t="n"/>
      <c r="D498" s="9" t="n"/>
      <c r="E498" s="10" t="n"/>
      <c r="F498" s="9" t="n"/>
      <c r="G498" s="9" t="n"/>
      <c r="H498" s="9" t="n"/>
      <c r="I498" s="9" t="n"/>
      <c r="J498" s="9" t="n"/>
      <c r="K498" s="9" t="n"/>
    </row>
    <row r="499">
      <c r="A499" s="3" t="n">
        <v>497</v>
      </c>
      <c r="B499" s="4" t="n"/>
      <c r="C499" s="5" t="n"/>
      <c r="D499" s="5" t="n"/>
      <c r="E499" s="6" t="n"/>
      <c r="F499" s="5" t="n"/>
      <c r="G499" s="5" t="n"/>
      <c r="H499" s="5" t="n"/>
      <c r="I499" s="5" t="n"/>
      <c r="J499" s="5" t="n"/>
      <c r="K499" s="5" t="n"/>
    </row>
    <row r="500">
      <c r="A500" s="7" t="n">
        <v>498</v>
      </c>
      <c r="B500" s="8" t="n"/>
      <c r="C500" s="9" t="n"/>
      <c r="D500" s="9" t="n"/>
      <c r="E500" s="10" t="n"/>
      <c r="F500" s="9" t="n"/>
      <c r="G500" s="9" t="n"/>
      <c r="H500" s="9" t="n"/>
      <c r="I500" s="9" t="n"/>
      <c r="J500" s="9" t="n"/>
      <c r="K500" s="9" t="n"/>
    </row>
    <row r="501">
      <c r="A501" s="3" t="n">
        <v>499</v>
      </c>
      <c r="B501" s="4" t="n"/>
      <c r="C501" s="5" t="n"/>
      <c r="D501" s="5" t="n"/>
      <c r="E501" s="6" t="n"/>
      <c r="F501" s="5" t="n"/>
      <c r="G501" s="5" t="n"/>
      <c r="H501" s="5" t="n"/>
      <c r="I501" s="5" t="n"/>
      <c r="J501" s="5" t="n"/>
      <c r="K501" s="5" t="n"/>
    </row>
    <row r="502">
      <c r="A502" s="7" t="n">
        <v>500</v>
      </c>
      <c r="B502" s="8" t="n"/>
      <c r="C502" s="9" t="n"/>
      <c r="D502" s="9" t="n"/>
      <c r="E502" s="10" t="n"/>
      <c r="F502" s="9" t="n"/>
      <c r="G502" s="9" t="n"/>
      <c r="H502" s="9" t="n"/>
      <c r="I502" s="9" t="n"/>
      <c r="J502" s="9" t="n"/>
      <c r="K502" s="9" t="n"/>
    </row>
    <row r="503">
      <c r="D503" s="11" t="inlineStr">
        <is>
          <t>TOTAL</t>
        </is>
      </c>
      <c r="E503" s="12">
        <f>SUM(E3:E502)</f>
        <v/>
      </c>
    </row>
  </sheetData>
  <mergeCells count="1">
    <mergeCell ref="A1:K1"/>
  </mergeCells>
  <conditionalFormatting sqref="H3:H502">
    <cfRule type="cellIs" priority="1" operator="equal" dxfId="0">
      <formula>"Yes"</formula>
    </cfRule>
    <cfRule type="cellIs" priority="2" operator="equal" dxfId="1">
      <formula>"No"</formula>
    </cfRule>
  </conditionalFormatting>
  <dataValidations count="6">
    <dataValidation sqref="C3:C502" showDropDown="0" showInputMessage="0" showErrorMessage="0" allowBlank="1" promptTitle="Category" prompt="Select expense category" type="list">
      <formula1>"Software/SaaS,Equipment,Vehicle/Gas,Vehicle/Maintenance,Insurance,Licensing/Permits,Marketing/Advertising,Office Supplies,Phone/Communications,Professional Services,Subcontractors,Training/Education,Travel,Meals (50%),Repairs/Maintenance,Uniforms/Safety,Other"</formula1>
    </dataValidation>
    <dataValidation sqref="F3:F502" showDropDown="0" showInputMessage="0" showErrorMessage="0" allowBlank="1" promptTitle="Payment" prompt="Select payment method" type="list">
      <formula1>"Cash,Check,Venmo,Zelle,Credit Card,Debit Card,ACH/Bank"</formula1>
    </dataValidation>
    <dataValidation sqref="G3:G502" showDropDown="0" showInputMessage="0" showErrorMessage="0" allowBlank="1" promptTitle="Recurring" prompt="One-Time, Monthly, or Annual" type="list">
      <formula1>"One-Time,Monthly,Annual"</formula1>
    </dataValidation>
    <dataValidation sqref="H3:H502" showDropDown="0" showInputMessage="0" showErrorMessage="0" allowBlank="1" promptTitle="Tax Deductible" prompt="Is this tax deductible?" type="list">
      <formula1>"Yes,No"</formula1>
    </dataValidation>
    <dataValidation sqref="I3:I502" showDropDown="0" showInputMessage="0" showErrorMessage="0" allowBlank="1" promptTitle="Schedule C" prompt="IRS Schedule C line item" type="list">
      <formula1>"Line 8 - Advertising,Line 10 - Car/Truck Expenses,Line 15 - Insurance,Line 17 - Legal/Professional,Line 18 - Office Expense,Line 20a - Rent (Vehicles/Equipment),Line 22 - Supplies,Line 24a - Travel,Line 24b - Meals,Line 25 - Utilities,Line 27a - Other Expenses"</formula1>
    </dataValidation>
    <dataValidation sqref="J3:J502" showDropDown="0" showInputMessage="0" showErrorMessage="0" allowBlank="1" promptTitle="Receipt" prompt="Do you have a receipt?" type="list">
      <formula1>"Yes,No,N/A"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12" customWidth="1" min="5" max="5"/>
    <col width="14" customWidth="1" min="6" max="6"/>
    <col width="12" customWidth="1" min="7" max="7"/>
    <col width="24" customWidth="1" min="8" max="8"/>
  </cols>
  <sheetData>
    <row r="1" ht="36" customHeight="1">
      <c r="A1" s="1" t="inlineStr">
        <is>
          <t>TOTALGUARD YARD CARE — 2026 GAS &amp; FUEL LOG</t>
        </is>
      </c>
    </row>
    <row r="2" ht="28" customHeight="1">
      <c r="A2" s="2" t="inlineStr">
        <is>
          <t>#</t>
        </is>
      </c>
      <c r="B2" s="2" t="inlineStr">
        <is>
          <t>Date</t>
        </is>
      </c>
      <c r="C2" s="2" t="inlineStr">
        <is>
          <t>Vehicle</t>
        </is>
      </c>
      <c r="D2" s="2" t="inlineStr">
        <is>
          <t>Gallons</t>
        </is>
      </c>
      <c r="E2" s="2" t="inlineStr">
        <is>
          <t>Price/Gal</t>
        </is>
      </c>
      <c r="F2" s="2" t="inlineStr">
        <is>
          <t>Total Cost</t>
        </is>
      </c>
      <c r="G2" s="2" t="inlineStr">
        <is>
          <t>Odometer</t>
        </is>
      </c>
      <c r="H2" s="2" t="inlineStr">
        <is>
          <t>Notes</t>
        </is>
      </c>
    </row>
    <row r="3">
      <c r="A3" s="3" t="n">
        <v>1</v>
      </c>
      <c r="B3" s="4" t="n">
        <v>46023</v>
      </c>
      <c r="C3" s="5" t="inlineStr">
        <is>
          <t>Car</t>
        </is>
      </c>
      <c r="D3" s="13" t="n"/>
      <c r="E3" s="14" t="n"/>
      <c r="F3" s="6" t="n">
        <v>35</v>
      </c>
      <c r="G3" s="15" t="n"/>
      <c r="H3" s="5" t="n"/>
    </row>
    <row r="4">
      <c r="A4" s="7" t="n">
        <v>2</v>
      </c>
      <c r="B4" s="8" t="n">
        <v>46030</v>
      </c>
      <c r="C4" s="9" t="inlineStr">
        <is>
          <t>Car</t>
        </is>
      </c>
      <c r="D4" s="16" t="n"/>
      <c r="E4" s="17" t="n"/>
      <c r="F4" s="10" t="n">
        <v>25.82</v>
      </c>
      <c r="G4" s="18" t="n"/>
      <c r="H4" s="9" t="n"/>
    </row>
    <row r="5">
      <c r="A5" s="3" t="n">
        <v>3</v>
      </c>
      <c r="B5" s="4" t="n">
        <v>46034</v>
      </c>
      <c r="C5" s="5" t="inlineStr">
        <is>
          <t>Car</t>
        </is>
      </c>
      <c r="D5" s="13" t="n"/>
      <c r="E5" s="14" t="n"/>
      <c r="F5" s="6" t="n">
        <v>38.04</v>
      </c>
      <c r="G5" s="15" t="n"/>
      <c r="H5" s="5" t="n"/>
    </row>
    <row r="6">
      <c r="A6" s="7" t="n">
        <v>4</v>
      </c>
      <c r="B6" s="8" t="n">
        <v>46049</v>
      </c>
      <c r="C6" s="9" t="inlineStr">
        <is>
          <t>Car</t>
        </is>
      </c>
      <c r="D6" s="16" t="n"/>
      <c r="E6" s="17" t="n"/>
      <c r="F6" s="10" t="n">
        <v>30.87</v>
      </c>
      <c r="G6" s="18" t="n"/>
      <c r="H6" s="9" t="n"/>
    </row>
    <row r="7">
      <c r="A7" s="3" t="n">
        <v>5</v>
      </c>
      <c r="B7" s="4" t="n">
        <v>46055</v>
      </c>
      <c r="C7" s="5" t="inlineStr">
        <is>
          <t>Car</t>
        </is>
      </c>
      <c r="D7" s="13" t="n"/>
      <c r="E7" s="14" t="n"/>
      <c r="F7" s="6" t="n">
        <v>30.68</v>
      </c>
      <c r="G7" s="15" t="n"/>
      <c r="H7" s="5" t="n"/>
    </row>
    <row r="8">
      <c r="A8" s="7" t="n">
        <v>6</v>
      </c>
      <c r="B8" s="8" t="n">
        <v>46059</v>
      </c>
      <c r="C8" s="9" t="inlineStr">
        <is>
          <t>Car</t>
        </is>
      </c>
      <c r="D8" s="16" t="n"/>
      <c r="E8" s="17" t="n"/>
      <c r="F8" s="10" t="n">
        <v>32.13</v>
      </c>
      <c r="G8" s="18" t="n"/>
      <c r="H8" s="9" t="n"/>
    </row>
    <row r="9">
      <c r="A9" s="3" t="n">
        <v>7</v>
      </c>
      <c r="B9" s="4" t="n">
        <v>46084</v>
      </c>
      <c r="C9" s="5" t="inlineStr">
        <is>
          <t>Car</t>
        </is>
      </c>
      <c r="D9" s="13" t="n"/>
      <c r="E9" s="14" t="n"/>
      <c r="F9" s="6" t="n">
        <v>35.23</v>
      </c>
      <c r="G9" s="15" t="n"/>
      <c r="H9" s="5" t="n"/>
    </row>
    <row r="10">
      <c r="A10" s="7" t="n">
        <v>8</v>
      </c>
      <c r="B10" s="8" t="n">
        <v>46092</v>
      </c>
      <c r="C10" s="9" t="inlineStr">
        <is>
          <t>Car</t>
        </is>
      </c>
      <c r="D10" s="16" t="n"/>
      <c r="E10" s="17" t="n"/>
      <c r="F10" s="10" t="n">
        <v>44.25</v>
      </c>
      <c r="G10" s="18" t="n"/>
      <c r="H10" s="9" t="n"/>
    </row>
    <row r="11">
      <c r="A11" s="3" t="n">
        <v>9</v>
      </c>
      <c r="B11" s="4" t="n"/>
      <c r="C11" s="5" t="n"/>
      <c r="D11" s="13" t="n"/>
      <c r="E11" s="14" t="n"/>
      <c r="F11" s="6" t="n"/>
      <c r="G11" s="15" t="n"/>
      <c r="H11" s="5" t="n"/>
    </row>
    <row r="12">
      <c r="A12" s="7" t="n">
        <v>10</v>
      </c>
      <c r="B12" s="8" t="n"/>
      <c r="C12" s="9" t="n"/>
      <c r="D12" s="16" t="n"/>
      <c r="E12" s="17" t="n"/>
      <c r="F12" s="10" t="n"/>
      <c r="G12" s="18" t="n"/>
      <c r="H12" s="9" t="n"/>
    </row>
    <row r="13">
      <c r="A13" s="3" t="n">
        <v>11</v>
      </c>
      <c r="B13" s="4" t="n"/>
      <c r="C13" s="5" t="n"/>
      <c r="D13" s="13" t="n"/>
      <c r="E13" s="14" t="n"/>
      <c r="F13" s="6" t="n"/>
      <c r="G13" s="15" t="n"/>
      <c r="H13" s="5" t="n"/>
    </row>
    <row r="14">
      <c r="A14" s="7" t="n">
        <v>12</v>
      </c>
      <c r="B14" s="8" t="n"/>
      <c r="C14" s="9" t="n"/>
      <c r="D14" s="16" t="n"/>
      <c r="E14" s="17" t="n"/>
      <c r="F14" s="10" t="n"/>
      <c r="G14" s="18" t="n"/>
      <c r="H14" s="9" t="n"/>
    </row>
    <row r="15">
      <c r="A15" s="3" t="n">
        <v>13</v>
      </c>
      <c r="B15" s="4" t="n"/>
      <c r="C15" s="5" t="n"/>
      <c r="D15" s="13" t="n"/>
      <c r="E15" s="14" t="n"/>
      <c r="F15" s="6" t="n"/>
      <c r="G15" s="15" t="n"/>
      <c r="H15" s="5" t="n"/>
    </row>
    <row r="16">
      <c r="A16" s="7" t="n">
        <v>14</v>
      </c>
      <c r="B16" s="8" t="n"/>
      <c r="C16" s="9" t="n"/>
      <c r="D16" s="16" t="n"/>
      <c r="E16" s="17" t="n"/>
      <c r="F16" s="10" t="n"/>
      <c r="G16" s="18" t="n"/>
      <c r="H16" s="9" t="n"/>
    </row>
    <row r="17">
      <c r="A17" s="3" t="n">
        <v>15</v>
      </c>
      <c r="B17" s="4" t="n"/>
      <c r="C17" s="5" t="n"/>
      <c r="D17" s="13" t="n"/>
      <c r="E17" s="14" t="n"/>
      <c r="F17" s="6" t="n"/>
      <c r="G17" s="15" t="n"/>
      <c r="H17" s="5" t="n"/>
    </row>
    <row r="18">
      <c r="A18" s="7" t="n">
        <v>16</v>
      </c>
      <c r="B18" s="8" t="n"/>
      <c r="C18" s="9" t="n"/>
      <c r="D18" s="16" t="n"/>
      <c r="E18" s="17" t="n"/>
      <c r="F18" s="10" t="n"/>
      <c r="G18" s="18" t="n"/>
      <c r="H18" s="9" t="n"/>
    </row>
    <row r="19">
      <c r="A19" s="3" t="n">
        <v>17</v>
      </c>
      <c r="B19" s="4" t="n"/>
      <c r="C19" s="5" t="n"/>
      <c r="D19" s="13" t="n"/>
      <c r="E19" s="14" t="n"/>
      <c r="F19" s="6" t="n"/>
      <c r="G19" s="15" t="n"/>
      <c r="H19" s="5" t="n"/>
    </row>
    <row r="20">
      <c r="A20" s="7" t="n">
        <v>18</v>
      </c>
      <c r="B20" s="8" t="n"/>
      <c r="C20" s="9" t="n"/>
      <c r="D20" s="16" t="n"/>
      <c r="E20" s="17" t="n"/>
      <c r="F20" s="10" t="n"/>
      <c r="G20" s="18" t="n"/>
      <c r="H20" s="9" t="n"/>
    </row>
    <row r="21">
      <c r="A21" s="3" t="n">
        <v>19</v>
      </c>
      <c r="B21" s="4" t="n"/>
      <c r="C21" s="5" t="n"/>
      <c r="D21" s="13" t="n"/>
      <c r="E21" s="14" t="n"/>
      <c r="F21" s="6" t="n"/>
      <c r="G21" s="15" t="n"/>
      <c r="H21" s="5" t="n"/>
    </row>
    <row r="22">
      <c r="A22" s="7" t="n">
        <v>20</v>
      </c>
      <c r="B22" s="8" t="n"/>
      <c r="C22" s="9" t="n"/>
      <c r="D22" s="16" t="n"/>
      <c r="E22" s="17" t="n"/>
      <c r="F22" s="10" t="n"/>
      <c r="G22" s="18" t="n"/>
      <c r="H22" s="9" t="n"/>
    </row>
    <row r="23">
      <c r="A23" s="3" t="n">
        <v>21</v>
      </c>
      <c r="B23" s="4" t="n"/>
      <c r="C23" s="5" t="n"/>
      <c r="D23" s="13" t="n"/>
      <c r="E23" s="14" t="n"/>
      <c r="F23" s="6" t="n"/>
      <c r="G23" s="15" t="n"/>
      <c r="H23" s="5" t="n"/>
    </row>
    <row r="24">
      <c r="A24" s="7" t="n">
        <v>22</v>
      </c>
      <c r="B24" s="8" t="n"/>
      <c r="C24" s="9" t="n"/>
      <c r="D24" s="16" t="n"/>
      <c r="E24" s="17" t="n"/>
      <c r="F24" s="10" t="n"/>
      <c r="G24" s="18" t="n"/>
      <c r="H24" s="9" t="n"/>
    </row>
    <row r="25">
      <c r="A25" s="3" t="n">
        <v>23</v>
      </c>
      <c r="B25" s="4" t="n"/>
      <c r="C25" s="5" t="n"/>
      <c r="D25" s="13" t="n"/>
      <c r="E25" s="14" t="n"/>
      <c r="F25" s="6" t="n"/>
      <c r="G25" s="15" t="n"/>
      <c r="H25" s="5" t="n"/>
    </row>
    <row r="26">
      <c r="A26" s="7" t="n">
        <v>24</v>
      </c>
      <c r="B26" s="8" t="n"/>
      <c r="C26" s="9" t="n"/>
      <c r="D26" s="16" t="n"/>
      <c r="E26" s="17" t="n"/>
      <c r="F26" s="10" t="n"/>
      <c r="G26" s="18" t="n"/>
      <c r="H26" s="9" t="n"/>
    </row>
    <row r="27">
      <c r="A27" s="3" t="n">
        <v>25</v>
      </c>
      <c r="B27" s="4" t="n"/>
      <c r="C27" s="5" t="n"/>
      <c r="D27" s="13" t="n"/>
      <c r="E27" s="14" t="n"/>
      <c r="F27" s="6" t="n"/>
      <c r="G27" s="15" t="n"/>
      <c r="H27" s="5" t="n"/>
    </row>
    <row r="28">
      <c r="A28" s="7" t="n">
        <v>26</v>
      </c>
      <c r="B28" s="8" t="n"/>
      <c r="C28" s="9" t="n"/>
      <c r="D28" s="16" t="n"/>
      <c r="E28" s="17" t="n"/>
      <c r="F28" s="10" t="n"/>
      <c r="G28" s="18" t="n"/>
      <c r="H28" s="9" t="n"/>
    </row>
    <row r="29">
      <c r="A29" s="3" t="n">
        <v>27</v>
      </c>
      <c r="B29" s="4" t="n"/>
      <c r="C29" s="5" t="n"/>
      <c r="D29" s="13" t="n"/>
      <c r="E29" s="14" t="n"/>
      <c r="F29" s="6" t="n"/>
      <c r="G29" s="15" t="n"/>
      <c r="H29" s="5" t="n"/>
    </row>
    <row r="30">
      <c r="A30" s="7" t="n">
        <v>28</v>
      </c>
      <c r="B30" s="8" t="n"/>
      <c r="C30" s="9" t="n"/>
      <c r="D30" s="16" t="n"/>
      <c r="E30" s="17" t="n"/>
      <c r="F30" s="10" t="n"/>
      <c r="G30" s="18" t="n"/>
      <c r="H30" s="9" t="n"/>
    </row>
    <row r="31">
      <c r="A31" s="3" t="n">
        <v>29</v>
      </c>
      <c r="B31" s="4" t="n"/>
      <c r="C31" s="5" t="n"/>
      <c r="D31" s="13" t="n"/>
      <c r="E31" s="14" t="n"/>
      <c r="F31" s="6" t="n"/>
      <c r="G31" s="15" t="n"/>
      <c r="H31" s="5" t="n"/>
    </row>
    <row r="32">
      <c r="A32" s="7" t="n">
        <v>30</v>
      </c>
      <c r="B32" s="8" t="n"/>
      <c r="C32" s="9" t="n"/>
      <c r="D32" s="16" t="n"/>
      <c r="E32" s="17" t="n"/>
      <c r="F32" s="10" t="n"/>
      <c r="G32" s="18" t="n"/>
      <c r="H32" s="9" t="n"/>
    </row>
    <row r="33">
      <c r="A33" s="3" t="n">
        <v>31</v>
      </c>
      <c r="B33" s="4" t="n"/>
      <c r="C33" s="5" t="n"/>
      <c r="D33" s="13" t="n"/>
      <c r="E33" s="14" t="n"/>
      <c r="F33" s="6" t="n"/>
      <c r="G33" s="15" t="n"/>
      <c r="H33" s="5" t="n"/>
    </row>
    <row r="34">
      <c r="A34" s="7" t="n">
        <v>32</v>
      </c>
      <c r="B34" s="8" t="n"/>
      <c r="C34" s="9" t="n"/>
      <c r="D34" s="16" t="n"/>
      <c r="E34" s="17" t="n"/>
      <c r="F34" s="10" t="n"/>
      <c r="G34" s="18" t="n"/>
      <c r="H34" s="9" t="n"/>
    </row>
    <row r="35">
      <c r="A35" s="3" t="n">
        <v>33</v>
      </c>
      <c r="B35" s="4" t="n"/>
      <c r="C35" s="5" t="n"/>
      <c r="D35" s="13" t="n"/>
      <c r="E35" s="14" t="n"/>
      <c r="F35" s="6" t="n"/>
      <c r="G35" s="15" t="n"/>
      <c r="H35" s="5" t="n"/>
    </row>
    <row r="36">
      <c r="A36" s="7" t="n">
        <v>34</v>
      </c>
      <c r="B36" s="8" t="n"/>
      <c r="C36" s="9" t="n"/>
      <c r="D36" s="16" t="n"/>
      <c r="E36" s="17" t="n"/>
      <c r="F36" s="10" t="n"/>
      <c r="G36" s="18" t="n"/>
      <c r="H36" s="9" t="n"/>
    </row>
    <row r="37">
      <c r="A37" s="3" t="n">
        <v>35</v>
      </c>
      <c r="B37" s="4" t="n"/>
      <c r="C37" s="5" t="n"/>
      <c r="D37" s="13" t="n"/>
      <c r="E37" s="14" t="n"/>
      <c r="F37" s="6" t="n"/>
      <c r="G37" s="15" t="n"/>
      <c r="H37" s="5" t="n"/>
    </row>
    <row r="38">
      <c r="A38" s="7" t="n">
        <v>36</v>
      </c>
      <c r="B38" s="8" t="n"/>
      <c r="C38" s="9" t="n"/>
      <c r="D38" s="16" t="n"/>
      <c r="E38" s="17" t="n"/>
      <c r="F38" s="10" t="n"/>
      <c r="G38" s="18" t="n"/>
      <c r="H38" s="9" t="n"/>
    </row>
    <row r="39">
      <c r="A39" s="3" t="n">
        <v>37</v>
      </c>
      <c r="B39" s="4" t="n"/>
      <c r="C39" s="5" t="n"/>
      <c r="D39" s="13" t="n"/>
      <c r="E39" s="14" t="n"/>
      <c r="F39" s="6" t="n"/>
      <c r="G39" s="15" t="n"/>
      <c r="H39" s="5" t="n"/>
    </row>
    <row r="40">
      <c r="A40" s="7" t="n">
        <v>38</v>
      </c>
      <c r="B40" s="8" t="n"/>
      <c r="C40" s="9" t="n"/>
      <c r="D40" s="16" t="n"/>
      <c r="E40" s="17" t="n"/>
      <c r="F40" s="10" t="n"/>
      <c r="G40" s="18" t="n"/>
      <c r="H40" s="9" t="n"/>
    </row>
    <row r="41">
      <c r="A41" s="3" t="n">
        <v>39</v>
      </c>
      <c r="B41" s="4" t="n"/>
      <c r="C41" s="5" t="n"/>
      <c r="D41" s="13" t="n"/>
      <c r="E41" s="14" t="n"/>
      <c r="F41" s="6" t="n"/>
      <c r="G41" s="15" t="n"/>
      <c r="H41" s="5" t="n"/>
    </row>
    <row r="42">
      <c r="A42" s="7" t="n">
        <v>40</v>
      </c>
      <c r="B42" s="8" t="n"/>
      <c r="C42" s="9" t="n"/>
      <c r="D42" s="16" t="n"/>
      <c r="E42" s="17" t="n"/>
      <c r="F42" s="10" t="n"/>
      <c r="G42" s="18" t="n"/>
      <c r="H42" s="9" t="n"/>
    </row>
    <row r="43">
      <c r="A43" s="3" t="n">
        <v>41</v>
      </c>
      <c r="B43" s="4" t="n"/>
      <c r="C43" s="5" t="n"/>
      <c r="D43" s="13" t="n"/>
      <c r="E43" s="14" t="n"/>
      <c r="F43" s="6" t="n"/>
      <c r="G43" s="15" t="n"/>
      <c r="H43" s="5" t="n"/>
    </row>
    <row r="44">
      <c r="A44" s="7" t="n">
        <v>42</v>
      </c>
      <c r="B44" s="8" t="n"/>
      <c r="C44" s="9" t="n"/>
      <c r="D44" s="16" t="n"/>
      <c r="E44" s="17" t="n"/>
      <c r="F44" s="10" t="n"/>
      <c r="G44" s="18" t="n"/>
      <c r="H44" s="9" t="n"/>
    </row>
    <row r="45">
      <c r="A45" s="3" t="n">
        <v>43</v>
      </c>
      <c r="B45" s="4" t="n"/>
      <c r="C45" s="5" t="n"/>
      <c r="D45" s="13" t="n"/>
      <c r="E45" s="14" t="n"/>
      <c r="F45" s="6" t="n"/>
      <c r="G45" s="15" t="n"/>
      <c r="H45" s="5" t="n"/>
    </row>
    <row r="46">
      <c r="A46" s="7" t="n">
        <v>44</v>
      </c>
      <c r="B46" s="8" t="n"/>
      <c r="C46" s="9" t="n"/>
      <c r="D46" s="16" t="n"/>
      <c r="E46" s="17" t="n"/>
      <c r="F46" s="10" t="n"/>
      <c r="G46" s="18" t="n"/>
      <c r="H46" s="9" t="n"/>
    </row>
    <row r="47">
      <c r="A47" s="3" t="n">
        <v>45</v>
      </c>
      <c r="B47" s="4" t="n"/>
      <c r="C47" s="5" t="n"/>
      <c r="D47" s="13" t="n"/>
      <c r="E47" s="14" t="n"/>
      <c r="F47" s="6" t="n"/>
      <c r="G47" s="15" t="n"/>
      <c r="H47" s="5" t="n"/>
    </row>
    <row r="48">
      <c r="A48" s="7" t="n">
        <v>46</v>
      </c>
      <c r="B48" s="8" t="n"/>
      <c r="C48" s="9" t="n"/>
      <c r="D48" s="16" t="n"/>
      <c r="E48" s="17" t="n"/>
      <c r="F48" s="10" t="n"/>
      <c r="G48" s="18" t="n"/>
      <c r="H48" s="9" t="n"/>
    </row>
    <row r="49">
      <c r="A49" s="3" t="n">
        <v>47</v>
      </c>
      <c r="B49" s="4" t="n"/>
      <c r="C49" s="5" t="n"/>
      <c r="D49" s="13" t="n"/>
      <c r="E49" s="14" t="n"/>
      <c r="F49" s="6" t="n"/>
      <c r="G49" s="15" t="n"/>
      <c r="H49" s="5" t="n"/>
    </row>
    <row r="50">
      <c r="A50" s="7" t="n">
        <v>48</v>
      </c>
      <c r="B50" s="8" t="n"/>
      <c r="C50" s="9" t="n"/>
      <c r="D50" s="16" t="n"/>
      <c r="E50" s="17" t="n"/>
      <c r="F50" s="10" t="n"/>
      <c r="G50" s="18" t="n"/>
      <c r="H50" s="9" t="n"/>
    </row>
    <row r="51">
      <c r="A51" s="3" t="n">
        <v>49</v>
      </c>
      <c r="B51" s="4" t="n"/>
      <c r="C51" s="5" t="n"/>
      <c r="D51" s="13" t="n"/>
      <c r="E51" s="14" t="n"/>
      <c r="F51" s="6" t="n"/>
      <c r="G51" s="15" t="n"/>
      <c r="H51" s="5" t="n"/>
    </row>
    <row r="52">
      <c r="A52" s="7" t="n">
        <v>50</v>
      </c>
      <c r="B52" s="8" t="n"/>
      <c r="C52" s="9" t="n"/>
      <c r="D52" s="16" t="n"/>
      <c r="E52" s="17" t="n"/>
      <c r="F52" s="10" t="n"/>
      <c r="G52" s="18" t="n"/>
      <c r="H52" s="9" t="n"/>
    </row>
    <row r="53">
      <c r="A53" s="3" t="n">
        <v>51</v>
      </c>
      <c r="B53" s="4" t="n"/>
      <c r="C53" s="5" t="n"/>
      <c r="D53" s="13" t="n"/>
      <c r="E53" s="14" t="n"/>
      <c r="F53" s="6" t="n"/>
      <c r="G53" s="15" t="n"/>
      <c r="H53" s="5" t="n"/>
    </row>
    <row r="54">
      <c r="A54" s="7" t="n">
        <v>52</v>
      </c>
      <c r="B54" s="8" t="n"/>
      <c r="C54" s="9" t="n"/>
      <c r="D54" s="16" t="n"/>
      <c r="E54" s="17" t="n"/>
      <c r="F54" s="10" t="n"/>
      <c r="G54" s="18" t="n"/>
      <c r="H54" s="9" t="n"/>
    </row>
    <row r="55">
      <c r="A55" s="3" t="n">
        <v>53</v>
      </c>
      <c r="B55" s="4" t="n"/>
      <c r="C55" s="5" t="n"/>
      <c r="D55" s="13" t="n"/>
      <c r="E55" s="14" t="n"/>
      <c r="F55" s="6" t="n"/>
      <c r="G55" s="15" t="n"/>
      <c r="H55" s="5" t="n"/>
    </row>
    <row r="56">
      <c r="A56" s="7" t="n">
        <v>54</v>
      </c>
      <c r="B56" s="8" t="n"/>
      <c r="C56" s="9" t="n"/>
      <c r="D56" s="16" t="n"/>
      <c r="E56" s="17" t="n"/>
      <c r="F56" s="10" t="n"/>
      <c r="G56" s="18" t="n"/>
      <c r="H56" s="9" t="n"/>
    </row>
    <row r="57">
      <c r="A57" s="3" t="n">
        <v>55</v>
      </c>
      <c r="B57" s="4" t="n"/>
      <c r="C57" s="5" t="n"/>
      <c r="D57" s="13" t="n"/>
      <c r="E57" s="14" t="n"/>
      <c r="F57" s="6" t="n"/>
      <c r="G57" s="15" t="n"/>
      <c r="H57" s="5" t="n"/>
    </row>
    <row r="58">
      <c r="A58" s="7" t="n">
        <v>56</v>
      </c>
      <c r="B58" s="8" t="n"/>
      <c r="C58" s="9" t="n"/>
      <c r="D58" s="16" t="n"/>
      <c r="E58" s="17" t="n"/>
      <c r="F58" s="10" t="n"/>
      <c r="G58" s="18" t="n"/>
      <c r="H58" s="9" t="n"/>
    </row>
    <row r="59">
      <c r="A59" s="3" t="n">
        <v>57</v>
      </c>
      <c r="B59" s="4" t="n"/>
      <c r="C59" s="5" t="n"/>
      <c r="D59" s="13" t="n"/>
      <c r="E59" s="14" t="n"/>
      <c r="F59" s="6" t="n"/>
      <c r="G59" s="15" t="n"/>
      <c r="H59" s="5" t="n"/>
    </row>
    <row r="60">
      <c r="A60" s="7" t="n">
        <v>58</v>
      </c>
      <c r="B60" s="8" t="n"/>
      <c r="C60" s="9" t="n"/>
      <c r="D60" s="16" t="n"/>
      <c r="E60" s="17" t="n"/>
      <c r="F60" s="10" t="n"/>
      <c r="G60" s="18" t="n"/>
      <c r="H60" s="9" t="n"/>
    </row>
    <row r="61">
      <c r="A61" s="3" t="n">
        <v>59</v>
      </c>
      <c r="B61" s="4" t="n"/>
      <c r="C61" s="5" t="n"/>
      <c r="D61" s="13" t="n"/>
      <c r="E61" s="14" t="n"/>
      <c r="F61" s="6" t="n"/>
      <c r="G61" s="15" t="n"/>
      <c r="H61" s="5" t="n"/>
    </row>
    <row r="62">
      <c r="A62" s="7" t="n">
        <v>60</v>
      </c>
      <c r="B62" s="8" t="n"/>
      <c r="C62" s="9" t="n"/>
      <c r="D62" s="16" t="n"/>
      <c r="E62" s="17" t="n"/>
      <c r="F62" s="10" t="n"/>
      <c r="G62" s="18" t="n"/>
      <c r="H62" s="9" t="n"/>
    </row>
    <row r="63">
      <c r="A63" s="3" t="n">
        <v>61</v>
      </c>
      <c r="B63" s="4" t="n"/>
      <c r="C63" s="5" t="n"/>
      <c r="D63" s="13" t="n"/>
      <c r="E63" s="14" t="n"/>
      <c r="F63" s="6" t="n"/>
      <c r="G63" s="15" t="n"/>
      <c r="H63" s="5" t="n"/>
    </row>
    <row r="64">
      <c r="A64" s="7" t="n">
        <v>62</v>
      </c>
      <c r="B64" s="8" t="n"/>
      <c r="C64" s="9" t="n"/>
      <c r="D64" s="16" t="n"/>
      <c r="E64" s="17" t="n"/>
      <c r="F64" s="10" t="n"/>
      <c r="G64" s="18" t="n"/>
      <c r="H64" s="9" t="n"/>
    </row>
    <row r="65">
      <c r="A65" s="3" t="n">
        <v>63</v>
      </c>
      <c r="B65" s="4" t="n"/>
      <c r="C65" s="5" t="n"/>
      <c r="D65" s="13" t="n"/>
      <c r="E65" s="14" t="n"/>
      <c r="F65" s="6" t="n"/>
      <c r="G65" s="15" t="n"/>
      <c r="H65" s="5" t="n"/>
    </row>
    <row r="66">
      <c r="A66" s="7" t="n">
        <v>64</v>
      </c>
      <c r="B66" s="8" t="n"/>
      <c r="C66" s="9" t="n"/>
      <c r="D66" s="16" t="n"/>
      <c r="E66" s="17" t="n"/>
      <c r="F66" s="10" t="n"/>
      <c r="G66" s="18" t="n"/>
      <c r="H66" s="9" t="n"/>
    </row>
    <row r="67">
      <c r="A67" s="3" t="n">
        <v>65</v>
      </c>
      <c r="B67" s="4" t="n"/>
      <c r="C67" s="5" t="n"/>
      <c r="D67" s="13" t="n"/>
      <c r="E67" s="14" t="n"/>
      <c r="F67" s="6" t="n"/>
      <c r="G67" s="15" t="n"/>
      <c r="H67" s="5" t="n"/>
    </row>
    <row r="68">
      <c r="A68" s="7" t="n">
        <v>66</v>
      </c>
      <c r="B68" s="8" t="n"/>
      <c r="C68" s="9" t="n"/>
      <c r="D68" s="16" t="n"/>
      <c r="E68" s="17" t="n"/>
      <c r="F68" s="10" t="n"/>
      <c r="G68" s="18" t="n"/>
      <c r="H68" s="9" t="n"/>
    </row>
    <row r="69">
      <c r="A69" s="3" t="n">
        <v>67</v>
      </c>
      <c r="B69" s="4" t="n"/>
      <c r="C69" s="5" t="n"/>
      <c r="D69" s="13" t="n"/>
      <c r="E69" s="14" t="n"/>
      <c r="F69" s="6" t="n"/>
      <c r="G69" s="15" t="n"/>
      <c r="H69" s="5" t="n"/>
    </row>
    <row r="70">
      <c r="A70" s="7" t="n">
        <v>68</v>
      </c>
      <c r="B70" s="8" t="n"/>
      <c r="C70" s="9" t="n"/>
      <c r="D70" s="16" t="n"/>
      <c r="E70" s="17" t="n"/>
      <c r="F70" s="10" t="n"/>
      <c r="G70" s="18" t="n"/>
      <c r="H70" s="9" t="n"/>
    </row>
    <row r="71">
      <c r="A71" s="3" t="n">
        <v>69</v>
      </c>
      <c r="B71" s="4" t="n"/>
      <c r="C71" s="5" t="n"/>
      <c r="D71" s="13" t="n"/>
      <c r="E71" s="14" t="n"/>
      <c r="F71" s="6" t="n"/>
      <c r="G71" s="15" t="n"/>
      <c r="H71" s="5" t="n"/>
    </row>
    <row r="72">
      <c r="A72" s="7" t="n">
        <v>70</v>
      </c>
      <c r="B72" s="8" t="n"/>
      <c r="C72" s="9" t="n"/>
      <c r="D72" s="16" t="n"/>
      <c r="E72" s="17" t="n"/>
      <c r="F72" s="10" t="n"/>
      <c r="G72" s="18" t="n"/>
      <c r="H72" s="9" t="n"/>
    </row>
    <row r="73">
      <c r="A73" s="3" t="n">
        <v>71</v>
      </c>
      <c r="B73" s="4" t="n"/>
      <c r="C73" s="5" t="n"/>
      <c r="D73" s="13" t="n"/>
      <c r="E73" s="14" t="n"/>
      <c r="F73" s="6" t="n"/>
      <c r="G73" s="15" t="n"/>
      <c r="H73" s="5" t="n"/>
    </row>
    <row r="74">
      <c r="A74" s="7" t="n">
        <v>72</v>
      </c>
      <c r="B74" s="8" t="n"/>
      <c r="C74" s="9" t="n"/>
      <c r="D74" s="16" t="n"/>
      <c r="E74" s="17" t="n"/>
      <c r="F74" s="10" t="n"/>
      <c r="G74" s="18" t="n"/>
      <c r="H74" s="9" t="n"/>
    </row>
    <row r="75">
      <c r="A75" s="3" t="n">
        <v>73</v>
      </c>
      <c r="B75" s="4" t="n"/>
      <c r="C75" s="5" t="n"/>
      <c r="D75" s="13" t="n"/>
      <c r="E75" s="14" t="n"/>
      <c r="F75" s="6" t="n"/>
      <c r="G75" s="15" t="n"/>
      <c r="H75" s="5" t="n"/>
    </row>
    <row r="76">
      <c r="A76" s="7" t="n">
        <v>74</v>
      </c>
      <c r="B76" s="8" t="n"/>
      <c r="C76" s="9" t="n"/>
      <c r="D76" s="16" t="n"/>
      <c r="E76" s="17" t="n"/>
      <c r="F76" s="10" t="n"/>
      <c r="G76" s="18" t="n"/>
      <c r="H76" s="9" t="n"/>
    </row>
    <row r="77">
      <c r="A77" s="3" t="n">
        <v>75</v>
      </c>
      <c r="B77" s="4" t="n"/>
      <c r="C77" s="5" t="n"/>
      <c r="D77" s="13" t="n"/>
      <c r="E77" s="14" t="n"/>
      <c r="F77" s="6" t="n"/>
      <c r="G77" s="15" t="n"/>
      <c r="H77" s="5" t="n"/>
    </row>
    <row r="78">
      <c r="A78" s="7" t="n">
        <v>76</v>
      </c>
      <c r="B78" s="8" t="n"/>
      <c r="C78" s="9" t="n"/>
      <c r="D78" s="16" t="n"/>
      <c r="E78" s="17" t="n"/>
      <c r="F78" s="10" t="n"/>
      <c r="G78" s="18" t="n"/>
      <c r="H78" s="9" t="n"/>
    </row>
    <row r="79">
      <c r="A79" s="3" t="n">
        <v>77</v>
      </c>
      <c r="B79" s="4" t="n"/>
      <c r="C79" s="5" t="n"/>
      <c r="D79" s="13" t="n"/>
      <c r="E79" s="14" t="n"/>
      <c r="F79" s="6" t="n"/>
      <c r="G79" s="15" t="n"/>
      <c r="H79" s="5" t="n"/>
    </row>
    <row r="80">
      <c r="A80" s="7" t="n">
        <v>78</v>
      </c>
      <c r="B80" s="8" t="n"/>
      <c r="C80" s="9" t="n"/>
      <c r="D80" s="16" t="n"/>
      <c r="E80" s="17" t="n"/>
      <c r="F80" s="10" t="n"/>
      <c r="G80" s="18" t="n"/>
      <c r="H80" s="9" t="n"/>
    </row>
    <row r="81">
      <c r="A81" s="3" t="n">
        <v>79</v>
      </c>
      <c r="B81" s="4" t="n"/>
      <c r="C81" s="5" t="n"/>
      <c r="D81" s="13" t="n"/>
      <c r="E81" s="14" t="n"/>
      <c r="F81" s="6" t="n"/>
      <c r="G81" s="15" t="n"/>
      <c r="H81" s="5" t="n"/>
    </row>
    <row r="82">
      <c r="A82" s="7" t="n">
        <v>80</v>
      </c>
      <c r="B82" s="8" t="n"/>
      <c r="C82" s="9" t="n"/>
      <c r="D82" s="16" t="n"/>
      <c r="E82" s="17" t="n"/>
      <c r="F82" s="10" t="n"/>
      <c r="G82" s="18" t="n"/>
      <c r="H82" s="9" t="n"/>
    </row>
    <row r="83">
      <c r="A83" s="3" t="n">
        <v>81</v>
      </c>
      <c r="B83" s="4" t="n"/>
      <c r="C83" s="5" t="n"/>
      <c r="D83" s="13" t="n"/>
      <c r="E83" s="14" t="n"/>
      <c r="F83" s="6" t="n"/>
      <c r="G83" s="15" t="n"/>
      <c r="H83" s="5" t="n"/>
    </row>
    <row r="84">
      <c r="A84" s="7" t="n">
        <v>82</v>
      </c>
      <c r="B84" s="8" t="n"/>
      <c r="C84" s="9" t="n"/>
      <c r="D84" s="16" t="n"/>
      <c r="E84" s="17" t="n"/>
      <c r="F84" s="10" t="n"/>
      <c r="G84" s="18" t="n"/>
      <c r="H84" s="9" t="n"/>
    </row>
    <row r="85">
      <c r="A85" s="3" t="n">
        <v>83</v>
      </c>
      <c r="B85" s="4" t="n"/>
      <c r="C85" s="5" t="n"/>
      <c r="D85" s="13" t="n"/>
      <c r="E85" s="14" t="n"/>
      <c r="F85" s="6" t="n"/>
      <c r="G85" s="15" t="n"/>
      <c r="H85" s="5" t="n"/>
    </row>
    <row r="86">
      <c r="A86" s="7" t="n">
        <v>84</v>
      </c>
      <c r="B86" s="8" t="n"/>
      <c r="C86" s="9" t="n"/>
      <c r="D86" s="16" t="n"/>
      <c r="E86" s="17" t="n"/>
      <c r="F86" s="10" t="n"/>
      <c r="G86" s="18" t="n"/>
      <c r="H86" s="9" t="n"/>
    </row>
    <row r="87">
      <c r="A87" s="3" t="n">
        <v>85</v>
      </c>
      <c r="B87" s="4" t="n"/>
      <c r="C87" s="5" t="n"/>
      <c r="D87" s="13" t="n"/>
      <c r="E87" s="14" t="n"/>
      <c r="F87" s="6" t="n"/>
      <c r="G87" s="15" t="n"/>
      <c r="H87" s="5" t="n"/>
    </row>
    <row r="88">
      <c r="A88" s="7" t="n">
        <v>86</v>
      </c>
      <c r="B88" s="8" t="n"/>
      <c r="C88" s="9" t="n"/>
      <c r="D88" s="16" t="n"/>
      <c r="E88" s="17" t="n"/>
      <c r="F88" s="10" t="n"/>
      <c r="G88" s="18" t="n"/>
      <c r="H88" s="9" t="n"/>
    </row>
    <row r="89">
      <c r="A89" s="3" t="n">
        <v>87</v>
      </c>
      <c r="B89" s="4" t="n"/>
      <c r="C89" s="5" t="n"/>
      <c r="D89" s="13" t="n"/>
      <c r="E89" s="14" t="n"/>
      <c r="F89" s="6" t="n"/>
      <c r="G89" s="15" t="n"/>
      <c r="H89" s="5" t="n"/>
    </row>
    <row r="90">
      <c r="A90" s="7" t="n">
        <v>88</v>
      </c>
      <c r="B90" s="8" t="n"/>
      <c r="C90" s="9" t="n"/>
      <c r="D90" s="16" t="n"/>
      <c r="E90" s="17" t="n"/>
      <c r="F90" s="10" t="n"/>
      <c r="G90" s="18" t="n"/>
      <c r="H90" s="9" t="n"/>
    </row>
    <row r="91">
      <c r="A91" s="3" t="n">
        <v>89</v>
      </c>
      <c r="B91" s="4" t="n"/>
      <c r="C91" s="5" t="n"/>
      <c r="D91" s="13" t="n"/>
      <c r="E91" s="14" t="n"/>
      <c r="F91" s="6" t="n"/>
      <c r="G91" s="15" t="n"/>
      <c r="H91" s="5" t="n"/>
    </row>
    <row r="92">
      <c r="A92" s="7" t="n">
        <v>90</v>
      </c>
      <c r="B92" s="8" t="n"/>
      <c r="C92" s="9" t="n"/>
      <c r="D92" s="16" t="n"/>
      <c r="E92" s="17" t="n"/>
      <c r="F92" s="10" t="n"/>
      <c r="G92" s="18" t="n"/>
      <c r="H92" s="9" t="n"/>
    </row>
    <row r="93">
      <c r="A93" s="3" t="n">
        <v>91</v>
      </c>
      <c r="B93" s="4" t="n"/>
      <c r="C93" s="5" t="n"/>
      <c r="D93" s="13" t="n"/>
      <c r="E93" s="14" t="n"/>
      <c r="F93" s="6" t="n"/>
      <c r="G93" s="15" t="n"/>
      <c r="H93" s="5" t="n"/>
    </row>
    <row r="94">
      <c r="A94" s="7" t="n">
        <v>92</v>
      </c>
      <c r="B94" s="8" t="n"/>
      <c r="C94" s="9" t="n"/>
      <c r="D94" s="16" t="n"/>
      <c r="E94" s="17" t="n"/>
      <c r="F94" s="10" t="n"/>
      <c r="G94" s="18" t="n"/>
      <c r="H94" s="9" t="n"/>
    </row>
    <row r="95">
      <c r="A95" s="3" t="n">
        <v>93</v>
      </c>
      <c r="B95" s="4" t="n"/>
      <c r="C95" s="5" t="n"/>
      <c r="D95" s="13" t="n"/>
      <c r="E95" s="14" t="n"/>
      <c r="F95" s="6" t="n"/>
      <c r="G95" s="15" t="n"/>
      <c r="H95" s="5" t="n"/>
    </row>
    <row r="96">
      <c r="A96" s="7" t="n">
        <v>94</v>
      </c>
      <c r="B96" s="8" t="n"/>
      <c r="C96" s="9" t="n"/>
      <c r="D96" s="16" t="n"/>
      <c r="E96" s="17" t="n"/>
      <c r="F96" s="10" t="n"/>
      <c r="G96" s="18" t="n"/>
      <c r="H96" s="9" t="n"/>
    </row>
    <row r="97">
      <c r="A97" s="3" t="n">
        <v>95</v>
      </c>
      <c r="B97" s="4" t="n"/>
      <c r="C97" s="5" t="n"/>
      <c r="D97" s="13" t="n"/>
      <c r="E97" s="14" t="n"/>
      <c r="F97" s="6" t="n"/>
      <c r="G97" s="15" t="n"/>
      <c r="H97" s="5" t="n"/>
    </row>
    <row r="98">
      <c r="A98" s="7" t="n">
        <v>96</v>
      </c>
      <c r="B98" s="8" t="n"/>
      <c r="C98" s="9" t="n"/>
      <c r="D98" s="16" t="n"/>
      <c r="E98" s="17" t="n"/>
      <c r="F98" s="10" t="n"/>
      <c r="G98" s="18" t="n"/>
      <c r="H98" s="9" t="n"/>
    </row>
    <row r="99">
      <c r="A99" s="3" t="n">
        <v>97</v>
      </c>
      <c r="B99" s="4" t="n"/>
      <c r="C99" s="5" t="n"/>
      <c r="D99" s="13" t="n"/>
      <c r="E99" s="14" t="n"/>
      <c r="F99" s="6" t="n"/>
      <c r="G99" s="15" t="n"/>
      <c r="H99" s="5" t="n"/>
    </row>
    <row r="100">
      <c r="A100" s="7" t="n">
        <v>98</v>
      </c>
      <c r="B100" s="8" t="n"/>
      <c r="C100" s="9" t="n"/>
      <c r="D100" s="16" t="n"/>
      <c r="E100" s="17" t="n"/>
      <c r="F100" s="10" t="n"/>
      <c r="G100" s="18" t="n"/>
      <c r="H100" s="9" t="n"/>
    </row>
    <row r="101">
      <c r="A101" s="3" t="n">
        <v>99</v>
      </c>
      <c r="B101" s="4" t="n"/>
      <c r="C101" s="5" t="n"/>
      <c r="D101" s="13" t="n"/>
      <c r="E101" s="14" t="n"/>
      <c r="F101" s="6" t="n"/>
      <c r="G101" s="15" t="n"/>
      <c r="H101" s="5" t="n"/>
    </row>
    <row r="102">
      <c r="A102" s="7" t="n">
        <v>100</v>
      </c>
      <c r="B102" s="8" t="n"/>
      <c r="C102" s="9" t="n"/>
      <c r="D102" s="16" t="n"/>
      <c r="E102" s="17" t="n"/>
      <c r="F102" s="10" t="n"/>
      <c r="G102" s="18" t="n"/>
      <c r="H102" s="9" t="n"/>
    </row>
    <row r="103">
      <c r="A103" s="3" t="n">
        <v>101</v>
      </c>
      <c r="B103" s="4" t="n"/>
      <c r="C103" s="5" t="n"/>
      <c r="D103" s="13" t="n"/>
      <c r="E103" s="14" t="n"/>
      <c r="F103" s="6" t="n"/>
      <c r="G103" s="15" t="n"/>
      <c r="H103" s="5" t="n"/>
    </row>
    <row r="104">
      <c r="A104" s="7" t="n">
        <v>102</v>
      </c>
      <c r="B104" s="8" t="n"/>
      <c r="C104" s="9" t="n"/>
      <c r="D104" s="16" t="n"/>
      <c r="E104" s="17" t="n"/>
      <c r="F104" s="10" t="n"/>
      <c r="G104" s="18" t="n"/>
      <c r="H104" s="9" t="n"/>
    </row>
    <row r="105">
      <c r="A105" s="3" t="n">
        <v>103</v>
      </c>
      <c r="B105" s="4" t="n"/>
      <c r="C105" s="5" t="n"/>
      <c r="D105" s="13" t="n"/>
      <c r="E105" s="14" t="n"/>
      <c r="F105" s="6" t="n"/>
      <c r="G105" s="15" t="n"/>
      <c r="H105" s="5" t="n"/>
    </row>
    <row r="106">
      <c r="A106" s="7" t="n">
        <v>104</v>
      </c>
      <c r="B106" s="8" t="n"/>
      <c r="C106" s="9" t="n"/>
      <c r="D106" s="16" t="n"/>
      <c r="E106" s="17" t="n"/>
      <c r="F106" s="10" t="n"/>
      <c r="G106" s="18" t="n"/>
      <c r="H106" s="9" t="n"/>
    </row>
    <row r="107">
      <c r="A107" s="3" t="n">
        <v>105</v>
      </c>
      <c r="B107" s="4" t="n"/>
      <c r="C107" s="5" t="n"/>
      <c r="D107" s="13" t="n"/>
      <c r="E107" s="14" t="n"/>
      <c r="F107" s="6" t="n"/>
      <c r="G107" s="15" t="n"/>
      <c r="H107" s="5" t="n"/>
    </row>
    <row r="108">
      <c r="A108" s="7" t="n">
        <v>106</v>
      </c>
      <c r="B108" s="8" t="n"/>
      <c r="C108" s="9" t="n"/>
      <c r="D108" s="16" t="n"/>
      <c r="E108" s="17" t="n"/>
      <c r="F108" s="10" t="n"/>
      <c r="G108" s="18" t="n"/>
      <c r="H108" s="9" t="n"/>
    </row>
    <row r="109">
      <c r="A109" s="3" t="n">
        <v>107</v>
      </c>
      <c r="B109" s="4" t="n"/>
      <c r="C109" s="5" t="n"/>
      <c r="D109" s="13" t="n"/>
      <c r="E109" s="14" t="n"/>
      <c r="F109" s="6" t="n"/>
      <c r="G109" s="15" t="n"/>
      <c r="H109" s="5" t="n"/>
    </row>
    <row r="110">
      <c r="A110" s="7" t="n">
        <v>108</v>
      </c>
      <c r="B110" s="8" t="n"/>
      <c r="C110" s="9" t="n"/>
      <c r="D110" s="16" t="n"/>
      <c r="E110" s="17" t="n"/>
      <c r="F110" s="10" t="n"/>
      <c r="G110" s="18" t="n"/>
      <c r="H110" s="9" t="n"/>
    </row>
    <row r="111">
      <c r="A111" s="3" t="n">
        <v>109</v>
      </c>
      <c r="B111" s="4" t="n"/>
      <c r="C111" s="5" t="n"/>
      <c r="D111" s="13" t="n"/>
      <c r="E111" s="14" t="n"/>
      <c r="F111" s="6" t="n"/>
      <c r="G111" s="15" t="n"/>
      <c r="H111" s="5" t="n"/>
    </row>
    <row r="112">
      <c r="A112" s="7" t="n">
        <v>110</v>
      </c>
      <c r="B112" s="8" t="n"/>
      <c r="C112" s="9" t="n"/>
      <c r="D112" s="16" t="n"/>
      <c r="E112" s="17" t="n"/>
      <c r="F112" s="10" t="n"/>
      <c r="G112" s="18" t="n"/>
      <c r="H112" s="9" t="n"/>
    </row>
    <row r="113">
      <c r="A113" s="3" t="n">
        <v>111</v>
      </c>
      <c r="B113" s="4" t="n"/>
      <c r="C113" s="5" t="n"/>
      <c r="D113" s="13" t="n"/>
      <c r="E113" s="14" t="n"/>
      <c r="F113" s="6" t="n"/>
      <c r="G113" s="15" t="n"/>
      <c r="H113" s="5" t="n"/>
    </row>
    <row r="114">
      <c r="A114" s="7" t="n">
        <v>112</v>
      </c>
      <c r="B114" s="8" t="n"/>
      <c r="C114" s="9" t="n"/>
      <c r="D114" s="16" t="n"/>
      <c r="E114" s="17" t="n"/>
      <c r="F114" s="10" t="n"/>
      <c r="G114" s="18" t="n"/>
      <c r="H114" s="9" t="n"/>
    </row>
    <row r="115">
      <c r="A115" s="3" t="n">
        <v>113</v>
      </c>
      <c r="B115" s="4" t="n"/>
      <c r="C115" s="5" t="n"/>
      <c r="D115" s="13" t="n"/>
      <c r="E115" s="14" t="n"/>
      <c r="F115" s="6" t="n"/>
      <c r="G115" s="15" t="n"/>
      <c r="H115" s="5" t="n"/>
    </row>
    <row r="116">
      <c r="A116" s="7" t="n">
        <v>114</v>
      </c>
      <c r="B116" s="8" t="n"/>
      <c r="C116" s="9" t="n"/>
      <c r="D116" s="16" t="n"/>
      <c r="E116" s="17" t="n"/>
      <c r="F116" s="10" t="n"/>
      <c r="G116" s="18" t="n"/>
      <c r="H116" s="9" t="n"/>
    </row>
    <row r="117">
      <c r="A117" s="3" t="n">
        <v>115</v>
      </c>
      <c r="B117" s="4" t="n"/>
      <c r="C117" s="5" t="n"/>
      <c r="D117" s="13" t="n"/>
      <c r="E117" s="14" t="n"/>
      <c r="F117" s="6" t="n"/>
      <c r="G117" s="15" t="n"/>
      <c r="H117" s="5" t="n"/>
    </row>
    <row r="118">
      <c r="A118" s="7" t="n">
        <v>116</v>
      </c>
      <c r="B118" s="8" t="n"/>
      <c r="C118" s="9" t="n"/>
      <c r="D118" s="16" t="n"/>
      <c r="E118" s="17" t="n"/>
      <c r="F118" s="10" t="n"/>
      <c r="G118" s="18" t="n"/>
      <c r="H118" s="9" t="n"/>
    </row>
    <row r="119">
      <c r="A119" s="3" t="n">
        <v>117</v>
      </c>
      <c r="B119" s="4" t="n"/>
      <c r="C119" s="5" t="n"/>
      <c r="D119" s="13" t="n"/>
      <c r="E119" s="14" t="n"/>
      <c r="F119" s="6" t="n"/>
      <c r="G119" s="15" t="n"/>
      <c r="H119" s="5" t="n"/>
    </row>
    <row r="120">
      <c r="A120" s="7" t="n">
        <v>118</v>
      </c>
      <c r="B120" s="8" t="n"/>
      <c r="C120" s="9" t="n"/>
      <c r="D120" s="16" t="n"/>
      <c r="E120" s="17" t="n"/>
      <c r="F120" s="10" t="n"/>
      <c r="G120" s="18" t="n"/>
      <c r="H120" s="9" t="n"/>
    </row>
    <row r="121">
      <c r="A121" s="3" t="n">
        <v>119</v>
      </c>
      <c r="B121" s="4" t="n"/>
      <c r="C121" s="5" t="n"/>
      <c r="D121" s="13" t="n"/>
      <c r="E121" s="14" t="n"/>
      <c r="F121" s="6" t="n"/>
      <c r="G121" s="15" t="n"/>
      <c r="H121" s="5" t="n"/>
    </row>
    <row r="122">
      <c r="A122" s="7" t="n">
        <v>120</v>
      </c>
      <c r="B122" s="8" t="n"/>
      <c r="C122" s="9" t="n"/>
      <c r="D122" s="16" t="n"/>
      <c r="E122" s="17" t="n"/>
      <c r="F122" s="10" t="n"/>
      <c r="G122" s="18" t="n"/>
      <c r="H122" s="9" t="n"/>
    </row>
    <row r="123">
      <c r="A123" s="3" t="n">
        <v>121</v>
      </c>
      <c r="B123" s="4" t="n"/>
      <c r="C123" s="5" t="n"/>
      <c r="D123" s="13" t="n"/>
      <c r="E123" s="14" t="n"/>
      <c r="F123" s="6" t="n"/>
      <c r="G123" s="15" t="n"/>
      <c r="H123" s="5" t="n"/>
    </row>
    <row r="124">
      <c r="A124" s="7" t="n">
        <v>122</v>
      </c>
      <c r="B124" s="8" t="n"/>
      <c r="C124" s="9" t="n"/>
      <c r="D124" s="16" t="n"/>
      <c r="E124" s="17" t="n"/>
      <c r="F124" s="10" t="n"/>
      <c r="G124" s="18" t="n"/>
      <c r="H124" s="9" t="n"/>
    </row>
    <row r="125">
      <c r="A125" s="3" t="n">
        <v>123</v>
      </c>
      <c r="B125" s="4" t="n"/>
      <c r="C125" s="5" t="n"/>
      <c r="D125" s="13" t="n"/>
      <c r="E125" s="14" t="n"/>
      <c r="F125" s="6" t="n"/>
      <c r="G125" s="15" t="n"/>
      <c r="H125" s="5" t="n"/>
    </row>
    <row r="126">
      <c r="A126" s="7" t="n">
        <v>124</v>
      </c>
      <c r="B126" s="8" t="n"/>
      <c r="C126" s="9" t="n"/>
      <c r="D126" s="16" t="n"/>
      <c r="E126" s="17" t="n"/>
      <c r="F126" s="10" t="n"/>
      <c r="G126" s="18" t="n"/>
      <c r="H126" s="9" t="n"/>
    </row>
    <row r="127">
      <c r="A127" s="3" t="n">
        <v>125</v>
      </c>
      <c r="B127" s="4" t="n"/>
      <c r="C127" s="5" t="n"/>
      <c r="D127" s="13" t="n"/>
      <c r="E127" s="14" t="n"/>
      <c r="F127" s="6" t="n"/>
      <c r="G127" s="15" t="n"/>
      <c r="H127" s="5" t="n"/>
    </row>
    <row r="128">
      <c r="A128" s="7" t="n">
        <v>126</v>
      </c>
      <c r="B128" s="8" t="n"/>
      <c r="C128" s="9" t="n"/>
      <c r="D128" s="16" t="n"/>
      <c r="E128" s="17" t="n"/>
      <c r="F128" s="10" t="n"/>
      <c r="G128" s="18" t="n"/>
      <c r="H128" s="9" t="n"/>
    </row>
    <row r="129">
      <c r="A129" s="3" t="n">
        <v>127</v>
      </c>
      <c r="B129" s="4" t="n"/>
      <c r="C129" s="5" t="n"/>
      <c r="D129" s="13" t="n"/>
      <c r="E129" s="14" t="n"/>
      <c r="F129" s="6" t="n"/>
      <c r="G129" s="15" t="n"/>
      <c r="H129" s="5" t="n"/>
    </row>
    <row r="130">
      <c r="A130" s="7" t="n">
        <v>128</v>
      </c>
      <c r="B130" s="8" t="n"/>
      <c r="C130" s="9" t="n"/>
      <c r="D130" s="16" t="n"/>
      <c r="E130" s="17" t="n"/>
      <c r="F130" s="10" t="n"/>
      <c r="G130" s="18" t="n"/>
      <c r="H130" s="9" t="n"/>
    </row>
    <row r="131">
      <c r="A131" s="3" t="n">
        <v>129</v>
      </c>
      <c r="B131" s="4" t="n"/>
      <c r="C131" s="5" t="n"/>
      <c r="D131" s="13" t="n"/>
      <c r="E131" s="14" t="n"/>
      <c r="F131" s="6" t="n"/>
      <c r="G131" s="15" t="n"/>
      <c r="H131" s="5" t="n"/>
    </row>
    <row r="132">
      <c r="A132" s="7" t="n">
        <v>130</v>
      </c>
      <c r="B132" s="8" t="n"/>
      <c r="C132" s="9" t="n"/>
      <c r="D132" s="16" t="n"/>
      <c r="E132" s="17" t="n"/>
      <c r="F132" s="10" t="n"/>
      <c r="G132" s="18" t="n"/>
      <c r="H132" s="9" t="n"/>
    </row>
    <row r="133">
      <c r="A133" s="3" t="n">
        <v>131</v>
      </c>
      <c r="B133" s="4" t="n"/>
      <c r="C133" s="5" t="n"/>
      <c r="D133" s="13" t="n"/>
      <c r="E133" s="14" t="n"/>
      <c r="F133" s="6" t="n"/>
      <c r="G133" s="15" t="n"/>
      <c r="H133" s="5" t="n"/>
    </row>
    <row r="134">
      <c r="A134" s="7" t="n">
        <v>132</v>
      </c>
      <c r="B134" s="8" t="n"/>
      <c r="C134" s="9" t="n"/>
      <c r="D134" s="16" t="n"/>
      <c r="E134" s="17" t="n"/>
      <c r="F134" s="10" t="n"/>
      <c r="G134" s="18" t="n"/>
      <c r="H134" s="9" t="n"/>
    </row>
    <row r="135">
      <c r="A135" s="3" t="n">
        <v>133</v>
      </c>
      <c r="B135" s="4" t="n"/>
      <c r="C135" s="5" t="n"/>
      <c r="D135" s="13" t="n"/>
      <c r="E135" s="14" t="n"/>
      <c r="F135" s="6" t="n"/>
      <c r="G135" s="15" t="n"/>
      <c r="H135" s="5" t="n"/>
    </row>
    <row r="136">
      <c r="A136" s="7" t="n">
        <v>134</v>
      </c>
      <c r="B136" s="8" t="n"/>
      <c r="C136" s="9" t="n"/>
      <c r="D136" s="16" t="n"/>
      <c r="E136" s="17" t="n"/>
      <c r="F136" s="10" t="n"/>
      <c r="G136" s="18" t="n"/>
      <c r="H136" s="9" t="n"/>
    </row>
    <row r="137">
      <c r="A137" s="3" t="n">
        <v>135</v>
      </c>
      <c r="B137" s="4" t="n"/>
      <c r="C137" s="5" t="n"/>
      <c r="D137" s="13" t="n"/>
      <c r="E137" s="14" t="n"/>
      <c r="F137" s="6" t="n"/>
      <c r="G137" s="15" t="n"/>
      <c r="H137" s="5" t="n"/>
    </row>
    <row r="138">
      <c r="A138" s="7" t="n">
        <v>136</v>
      </c>
      <c r="B138" s="8" t="n"/>
      <c r="C138" s="9" t="n"/>
      <c r="D138" s="16" t="n"/>
      <c r="E138" s="17" t="n"/>
      <c r="F138" s="10" t="n"/>
      <c r="G138" s="18" t="n"/>
      <c r="H138" s="9" t="n"/>
    </row>
    <row r="139">
      <c r="A139" s="3" t="n">
        <v>137</v>
      </c>
      <c r="B139" s="4" t="n"/>
      <c r="C139" s="5" t="n"/>
      <c r="D139" s="13" t="n"/>
      <c r="E139" s="14" t="n"/>
      <c r="F139" s="6" t="n"/>
      <c r="G139" s="15" t="n"/>
      <c r="H139" s="5" t="n"/>
    </row>
    <row r="140">
      <c r="A140" s="7" t="n">
        <v>138</v>
      </c>
      <c r="B140" s="8" t="n"/>
      <c r="C140" s="9" t="n"/>
      <c r="D140" s="16" t="n"/>
      <c r="E140" s="17" t="n"/>
      <c r="F140" s="10" t="n"/>
      <c r="G140" s="18" t="n"/>
      <c r="H140" s="9" t="n"/>
    </row>
    <row r="141">
      <c r="A141" s="3" t="n">
        <v>139</v>
      </c>
      <c r="B141" s="4" t="n"/>
      <c r="C141" s="5" t="n"/>
      <c r="D141" s="13" t="n"/>
      <c r="E141" s="14" t="n"/>
      <c r="F141" s="6" t="n"/>
      <c r="G141" s="15" t="n"/>
      <c r="H141" s="5" t="n"/>
    </row>
    <row r="142">
      <c r="A142" s="7" t="n">
        <v>140</v>
      </c>
      <c r="B142" s="8" t="n"/>
      <c r="C142" s="9" t="n"/>
      <c r="D142" s="16" t="n"/>
      <c r="E142" s="17" t="n"/>
      <c r="F142" s="10" t="n"/>
      <c r="G142" s="18" t="n"/>
      <c r="H142" s="9" t="n"/>
    </row>
    <row r="143">
      <c r="A143" s="3" t="n">
        <v>141</v>
      </c>
      <c r="B143" s="4" t="n"/>
      <c r="C143" s="5" t="n"/>
      <c r="D143" s="13" t="n"/>
      <c r="E143" s="14" t="n"/>
      <c r="F143" s="6" t="n"/>
      <c r="G143" s="15" t="n"/>
      <c r="H143" s="5" t="n"/>
    </row>
    <row r="144">
      <c r="A144" s="7" t="n">
        <v>142</v>
      </c>
      <c r="B144" s="8" t="n"/>
      <c r="C144" s="9" t="n"/>
      <c r="D144" s="16" t="n"/>
      <c r="E144" s="17" t="n"/>
      <c r="F144" s="10" t="n"/>
      <c r="G144" s="18" t="n"/>
      <c r="H144" s="9" t="n"/>
    </row>
    <row r="145">
      <c r="A145" s="3" t="n">
        <v>143</v>
      </c>
      <c r="B145" s="4" t="n"/>
      <c r="C145" s="5" t="n"/>
      <c r="D145" s="13" t="n"/>
      <c r="E145" s="14" t="n"/>
      <c r="F145" s="6" t="n"/>
      <c r="G145" s="15" t="n"/>
      <c r="H145" s="5" t="n"/>
    </row>
    <row r="146">
      <c r="A146" s="7" t="n">
        <v>144</v>
      </c>
      <c r="B146" s="8" t="n"/>
      <c r="C146" s="9" t="n"/>
      <c r="D146" s="16" t="n"/>
      <c r="E146" s="17" t="n"/>
      <c r="F146" s="10" t="n"/>
      <c r="G146" s="18" t="n"/>
      <c r="H146" s="9" t="n"/>
    </row>
    <row r="147">
      <c r="A147" s="3" t="n">
        <v>145</v>
      </c>
      <c r="B147" s="4" t="n"/>
      <c r="C147" s="5" t="n"/>
      <c r="D147" s="13" t="n"/>
      <c r="E147" s="14" t="n"/>
      <c r="F147" s="6" t="n"/>
      <c r="G147" s="15" t="n"/>
      <c r="H147" s="5" t="n"/>
    </row>
    <row r="148">
      <c r="A148" s="7" t="n">
        <v>146</v>
      </c>
      <c r="B148" s="8" t="n"/>
      <c r="C148" s="9" t="n"/>
      <c r="D148" s="16" t="n"/>
      <c r="E148" s="17" t="n"/>
      <c r="F148" s="10" t="n"/>
      <c r="G148" s="18" t="n"/>
      <c r="H148" s="9" t="n"/>
    </row>
    <row r="149">
      <c r="A149" s="3" t="n">
        <v>147</v>
      </c>
      <c r="B149" s="4" t="n"/>
      <c r="C149" s="5" t="n"/>
      <c r="D149" s="13" t="n"/>
      <c r="E149" s="14" t="n"/>
      <c r="F149" s="6" t="n"/>
      <c r="G149" s="15" t="n"/>
      <c r="H149" s="5" t="n"/>
    </row>
    <row r="150">
      <c r="A150" s="7" t="n">
        <v>148</v>
      </c>
      <c r="B150" s="8" t="n"/>
      <c r="C150" s="9" t="n"/>
      <c r="D150" s="16" t="n"/>
      <c r="E150" s="17" t="n"/>
      <c r="F150" s="10" t="n"/>
      <c r="G150" s="18" t="n"/>
      <c r="H150" s="9" t="n"/>
    </row>
    <row r="151">
      <c r="A151" s="3" t="n">
        <v>149</v>
      </c>
      <c r="B151" s="4" t="n"/>
      <c r="C151" s="5" t="n"/>
      <c r="D151" s="13" t="n"/>
      <c r="E151" s="14" t="n"/>
      <c r="F151" s="6" t="n"/>
      <c r="G151" s="15" t="n"/>
      <c r="H151" s="5" t="n"/>
    </row>
    <row r="152">
      <c r="A152" s="7" t="n">
        <v>150</v>
      </c>
      <c r="B152" s="8" t="n"/>
      <c r="C152" s="9" t="n"/>
      <c r="D152" s="16" t="n"/>
      <c r="E152" s="17" t="n"/>
      <c r="F152" s="10" t="n"/>
      <c r="G152" s="18" t="n"/>
      <c r="H152" s="9" t="n"/>
    </row>
    <row r="153">
      <c r="A153" s="3" t="n">
        <v>151</v>
      </c>
      <c r="B153" s="4" t="n"/>
      <c r="C153" s="5" t="n"/>
      <c r="D153" s="13" t="n"/>
      <c r="E153" s="14" t="n"/>
      <c r="F153" s="6" t="n"/>
      <c r="G153" s="15" t="n"/>
      <c r="H153" s="5" t="n"/>
    </row>
    <row r="154">
      <c r="A154" s="7" t="n">
        <v>152</v>
      </c>
      <c r="B154" s="8" t="n"/>
      <c r="C154" s="9" t="n"/>
      <c r="D154" s="16" t="n"/>
      <c r="E154" s="17" t="n"/>
      <c r="F154" s="10" t="n"/>
      <c r="G154" s="18" t="n"/>
      <c r="H154" s="9" t="n"/>
    </row>
    <row r="155">
      <c r="A155" s="3" t="n">
        <v>153</v>
      </c>
      <c r="B155" s="4" t="n"/>
      <c r="C155" s="5" t="n"/>
      <c r="D155" s="13" t="n"/>
      <c r="E155" s="14" t="n"/>
      <c r="F155" s="6" t="n"/>
      <c r="G155" s="15" t="n"/>
      <c r="H155" s="5" t="n"/>
    </row>
    <row r="156">
      <c r="A156" s="7" t="n">
        <v>154</v>
      </c>
      <c r="B156" s="8" t="n"/>
      <c r="C156" s="9" t="n"/>
      <c r="D156" s="16" t="n"/>
      <c r="E156" s="17" t="n"/>
      <c r="F156" s="10" t="n"/>
      <c r="G156" s="18" t="n"/>
      <c r="H156" s="9" t="n"/>
    </row>
    <row r="157">
      <c r="A157" s="3" t="n">
        <v>155</v>
      </c>
      <c r="B157" s="4" t="n"/>
      <c r="C157" s="5" t="n"/>
      <c r="D157" s="13" t="n"/>
      <c r="E157" s="14" t="n"/>
      <c r="F157" s="6" t="n"/>
      <c r="G157" s="15" t="n"/>
      <c r="H157" s="5" t="n"/>
    </row>
    <row r="158">
      <c r="A158" s="7" t="n">
        <v>156</v>
      </c>
      <c r="B158" s="8" t="n"/>
      <c r="C158" s="9" t="n"/>
      <c r="D158" s="16" t="n"/>
      <c r="E158" s="17" t="n"/>
      <c r="F158" s="10" t="n"/>
      <c r="G158" s="18" t="n"/>
      <c r="H158" s="9" t="n"/>
    </row>
    <row r="159">
      <c r="A159" s="3" t="n">
        <v>157</v>
      </c>
      <c r="B159" s="4" t="n"/>
      <c r="C159" s="5" t="n"/>
      <c r="D159" s="13" t="n"/>
      <c r="E159" s="14" t="n"/>
      <c r="F159" s="6" t="n"/>
      <c r="G159" s="15" t="n"/>
      <c r="H159" s="5" t="n"/>
    </row>
    <row r="160">
      <c r="A160" s="7" t="n">
        <v>158</v>
      </c>
      <c r="B160" s="8" t="n"/>
      <c r="C160" s="9" t="n"/>
      <c r="D160" s="16" t="n"/>
      <c r="E160" s="17" t="n"/>
      <c r="F160" s="10" t="n"/>
      <c r="G160" s="18" t="n"/>
      <c r="H160" s="9" t="n"/>
    </row>
    <row r="161">
      <c r="A161" s="3" t="n">
        <v>159</v>
      </c>
      <c r="B161" s="4" t="n"/>
      <c r="C161" s="5" t="n"/>
      <c r="D161" s="13" t="n"/>
      <c r="E161" s="14" t="n"/>
      <c r="F161" s="6" t="n"/>
      <c r="G161" s="15" t="n"/>
      <c r="H161" s="5" t="n"/>
    </row>
    <row r="162">
      <c r="A162" s="7" t="n">
        <v>160</v>
      </c>
      <c r="B162" s="8" t="n"/>
      <c r="C162" s="9" t="n"/>
      <c r="D162" s="16" t="n"/>
      <c r="E162" s="17" t="n"/>
      <c r="F162" s="10" t="n"/>
      <c r="G162" s="18" t="n"/>
      <c r="H162" s="9" t="n"/>
    </row>
    <row r="163">
      <c r="A163" s="3" t="n">
        <v>161</v>
      </c>
      <c r="B163" s="4" t="n"/>
      <c r="C163" s="5" t="n"/>
      <c r="D163" s="13" t="n"/>
      <c r="E163" s="14" t="n"/>
      <c r="F163" s="6" t="n"/>
      <c r="G163" s="15" t="n"/>
      <c r="H163" s="5" t="n"/>
    </row>
    <row r="164">
      <c r="A164" s="7" t="n">
        <v>162</v>
      </c>
      <c r="B164" s="8" t="n"/>
      <c r="C164" s="9" t="n"/>
      <c r="D164" s="16" t="n"/>
      <c r="E164" s="17" t="n"/>
      <c r="F164" s="10" t="n"/>
      <c r="G164" s="18" t="n"/>
      <c r="H164" s="9" t="n"/>
    </row>
    <row r="165">
      <c r="A165" s="3" t="n">
        <v>163</v>
      </c>
      <c r="B165" s="4" t="n"/>
      <c r="C165" s="5" t="n"/>
      <c r="D165" s="13" t="n"/>
      <c r="E165" s="14" t="n"/>
      <c r="F165" s="6" t="n"/>
      <c r="G165" s="15" t="n"/>
      <c r="H165" s="5" t="n"/>
    </row>
    <row r="166">
      <c r="A166" s="7" t="n">
        <v>164</v>
      </c>
      <c r="B166" s="8" t="n"/>
      <c r="C166" s="9" t="n"/>
      <c r="D166" s="16" t="n"/>
      <c r="E166" s="17" t="n"/>
      <c r="F166" s="10" t="n"/>
      <c r="G166" s="18" t="n"/>
      <c r="H166" s="9" t="n"/>
    </row>
    <row r="167">
      <c r="A167" s="3" t="n">
        <v>165</v>
      </c>
      <c r="B167" s="4" t="n"/>
      <c r="C167" s="5" t="n"/>
      <c r="D167" s="13" t="n"/>
      <c r="E167" s="14" t="n"/>
      <c r="F167" s="6" t="n"/>
      <c r="G167" s="15" t="n"/>
      <c r="H167" s="5" t="n"/>
    </row>
    <row r="168">
      <c r="A168" s="7" t="n">
        <v>166</v>
      </c>
      <c r="B168" s="8" t="n"/>
      <c r="C168" s="9" t="n"/>
      <c r="D168" s="16" t="n"/>
      <c r="E168" s="17" t="n"/>
      <c r="F168" s="10" t="n"/>
      <c r="G168" s="18" t="n"/>
      <c r="H168" s="9" t="n"/>
    </row>
    <row r="169">
      <c r="A169" s="3" t="n">
        <v>167</v>
      </c>
      <c r="B169" s="4" t="n"/>
      <c r="C169" s="5" t="n"/>
      <c r="D169" s="13" t="n"/>
      <c r="E169" s="14" t="n"/>
      <c r="F169" s="6" t="n"/>
      <c r="G169" s="15" t="n"/>
      <c r="H169" s="5" t="n"/>
    </row>
    <row r="170">
      <c r="A170" s="7" t="n">
        <v>168</v>
      </c>
      <c r="B170" s="8" t="n"/>
      <c r="C170" s="9" t="n"/>
      <c r="D170" s="16" t="n"/>
      <c r="E170" s="17" t="n"/>
      <c r="F170" s="10" t="n"/>
      <c r="G170" s="18" t="n"/>
      <c r="H170" s="9" t="n"/>
    </row>
    <row r="171">
      <c r="A171" s="3" t="n">
        <v>169</v>
      </c>
      <c r="B171" s="4" t="n"/>
      <c r="C171" s="5" t="n"/>
      <c r="D171" s="13" t="n"/>
      <c r="E171" s="14" t="n"/>
      <c r="F171" s="6" t="n"/>
      <c r="G171" s="15" t="n"/>
      <c r="H171" s="5" t="n"/>
    </row>
    <row r="172">
      <c r="A172" s="7" t="n">
        <v>170</v>
      </c>
      <c r="B172" s="8" t="n"/>
      <c r="C172" s="9" t="n"/>
      <c r="D172" s="16" t="n"/>
      <c r="E172" s="17" t="n"/>
      <c r="F172" s="10" t="n"/>
      <c r="G172" s="18" t="n"/>
      <c r="H172" s="9" t="n"/>
    </row>
    <row r="173">
      <c r="A173" s="3" t="n">
        <v>171</v>
      </c>
      <c r="B173" s="4" t="n"/>
      <c r="C173" s="5" t="n"/>
      <c r="D173" s="13" t="n"/>
      <c r="E173" s="14" t="n"/>
      <c r="F173" s="6" t="n"/>
      <c r="G173" s="15" t="n"/>
      <c r="H173" s="5" t="n"/>
    </row>
    <row r="174">
      <c r="A174" s="7" t="n">
        <v>172</v>
      </c>
      <c r="B174" s="8" t="n"/>
      <c r="C174" s="9" t="n"/>
      <c r="D174" s="16" t="n"/>
      <c r="E174" s="17" t="n"/>
      <c r="F174" s="10" t="n"/>
      <c r="G174" s="18" t="n"/>
      <c r="H174" s="9" t="n"/>
    </row>
    <row r="175">
      <c r="A175" s="3" t="n">
        <v>173</v>
      </c>
      <c r="B175" s="4" t="n"/>
      <c r="C175" s="5" t="n"/>
      <c r="D175" s="13" t="n"/>
      <c r="E175" s="14" t="n"/>
      <c r="F175" s="6" t="n"/>
      <c r="G175" s="15" t="n"/>
      <c r="H175" s="5" t="n"/>
    </row>
    <row r="176">
      <c r="A176" s="7" t="n">
        <v>174</v>
      </c>
      <c r="B176" s="8" t="n"/>
      <c r="C176" s="9" t="n"/>
      <c r="D176" s="16" t="n"/>
      <c r="E176" s="17" t="n"/>
      <c r="F176" s="10" t="n"/>
      <c r="G176" s="18" t="n"/>
      <c r="H176" s="9" t="n"/>
    </row>
    <row r="177">
      <c r="A177" s="3" t="n">
        <v>175</v>
      </c>
      <c r="B177" s="4" t="n"/>
      <c r="C177" s="5" t="n"/>
      <c r="D177" s="13" t="n"/>
      <c r="E177" s="14" t="n"/>
      <c r="F177" s="6" t="n"/>
      <c r="G177" s="15" t="n"/>
      <c r="H177" s="5" t="n"/>
    </row>
    <row r="178">
      <c r="A178" s="7" t="n">
        <v>176</v>
      </c>
      <c r="B178" s="8" t="n"/>
      <c r="C178" s="9" t="n"/>
      <c r="D178" s="16" t="n"/>
      <c r="E178" s="17" t="n"/>
      <c r="F178" s="10" t="n"/>
      <c r="G178" s="18" t="n"/>
      <c r="H178" s="9" t="n"/>
    </row>
    <row r="179">
      <c r="A179" s="3" t="n">
        <v>177</v>
      </c>
      <c r="B179" s="4" t="n"/>
      <c r="C179" s="5" t="n"/>
      <c r="D179" s="13" t="n"/>
      <c r="E179" s="14" t="n"/>
      <c r="F179" s="6" t="n"/>
      <c r="G179" s="15" t="n"/>
      <c r="H179" s="5" t="n"/>
    </row>
    <row r="180">
      <c r="A180" s="7" t="n">
        <v>178</v>
      </c>
      <c r="B180" s="8" t="n"/>
      <c r="C180" s="9" t="n"/>
      <c r="D180" s="16" t="n"/>
      <c r="E180" s="17" t="n"/>
      <c r="F180" s="10" t="n"/>
      <c r="G180" s="18" t="n"/>
      <c r="H180" s="9" t="n"/>
    </row>
    <row r="181">
      <c r="A181" s="3" t="n">
        <v>179</v>
      </c>
      <c r="B181" s="4" t="n"/>
      <c r="C181" s="5" t="n"/>
      <c r="D181" s="13" t="n"/>
      <c r="E181" s="14" t="n"/>
      <c r="F181" s="6" t="n"/>
      <c r="G181" s="15" t="n"/>
      <c r="H181" s="5" t="n"/>
    </row>
    <row r="182">
      <c r="A182" s="7" t="n">
        <v>180</v>
      </c>
      <c r="B182" s="8" t="n"/>
      <c r="C182" s="9" t="n"/>
      <c r="D182" s="16" t="n"/>
      <c r="E182" s="17" t="n"/>
      <c r="F182" s="10" t="n"/>
      <c r="G182" s="18" t="n"/>
      <c r="H182" s="9" t="n"/>
    </row>
    <row r="183">
      <c r="A183" s="3" t="n">
        <v>181</v>
      </c>
      <c r="B183" s="4" t="n"/>
      <c r="C183" s="5" t="n"/>
      <c r="D183" s="13" t="n"/>
      <c r="E183" s="14" t="n"/>
      <c r="F183" s="6" t="n"/>
      <c r="G183" s="15" t="n"/>
      <c r="H183" s="5" t="n"/>
    </row>
    <row r="184">
      <c r="A184" s="7" t="n">
        <v>182</v>
      </c>
      <c r="B184" s="8" t="n"/>
      <c r="C184" s="9" t="n"/>
      <c r="D184" s="16" t="n"/>
      <c r="E184" s="17" t="n"/>
      <c r="F184" s="10" t="n"/>
      <c r="G184" s="18" t="n"/>
      <c r="H184" s="9" t="n"/>
    </row>
    <row r="185">
      <c r="A185" s="3" t="n">
        <v>183</v>
      </c>
      <c r="B185" s="4" t="n"/>
      <c r="C185" s="5" t="n"/>
      <c r="D185" s="13" t="n"/>
      <c r="E185" s="14" t="n"/>
      <c r="F185" s="6" t="n"/>
      <c r="G185" s="15" t="n"/>
      <c r="H185" s="5" t="n"/>
    </row>
    <row r="186">
      <c r="A186" s="7" t="n">
        <v>184</v>
      </c>
      <c r="B186" s="8" t="n"/>
      <c r="C186" s="9" t="n"/>
      <c r="D186" s="16" t="n"/>
      <c r="E186" s="17" t="n"/>
      <c r="F186" s="10" t="n"/>
      <c r="G186" s="18" t="n"/>
      <c r="H186" s="9" t="n"/>
    </row>
    <row r="187">
      <c r="A187" s="3" t="n">
        <v>185</v>
      </c>
      <c r="B187" s="4" t="n"/>
      <c r="C187" s="5" t="n"/>
      <c r="D187" s="13" t="n"/>
      <c r="E187" s="14" t="n"/>
      <c r="F187" s="6" t="n"/>
      <c r="G187" s="15" t="n"/>
      <c r="H187" s="5" t="n"/>
    </row>
    <row r="188">
      <c r="A188" s="7" t="n">
        <v>186</v>
      </c>
      <c r="B188" s="8" t="n"/>
      <c r="C188" s="9" t="n"/>
      <c r="D188" s="16" t="n"/>
      <c r="E188" s="17" t="n"/>
      <c r="F188" s="10" t="n"/>
      <c r="G188" s="18" t="n"/>
      <c r="H188" s="9" t="n"/>
    </row>
    <row r="189">
      <c r="A189" s="3" t="n">
        <v>187</v>
      </c>
      <c r="B189" s="4" t="n"/>
      <c r="C189" s="5" t="n"/>
      <c r="D189" s="13" t="n"/>
      <c r="E189" s="14" t="n"/>
      <c r="F189" s="6" t="n"/>
      <c r="G189" s="15" t="n"/>
      <c r="H189" s="5" t="n"/>
    </row>
    <row r="190">
      <c r="A190" s="7" t="n">
        <v>188</v>
      </c>
      <c r="B190" s="8" t="n"/>
      <c r="C190" s="9" t="n"/>
      <c r="D190" s="16" t="n"/>
      <c r="E190" s="17" t="n"/>
      <c r="F190" s="10" t="n"/>
      <c r="G190" s="18" t="n"/>
      <c r="H190" s="9" t="n"/>
    </row>
    <row r="191">
      <c r="A191" s="3" t="n">
        <v>189</v>
      </c>
      <c r="B191" s="4" t="n"/>
      <c r="C191" s="5" t="n"/>
      <c r="D191" s="13" t="n"/>
      <c r="E191" s="14" t="n"/>
      <c r="F191" s="6" t="n"/>
      <c r="G191" s="15" t="n"/>
      <c r="H191" s="5" t="n"/>
    </row>
    <row r="192">
      <c r="A192" s="7" t="n">
        <v>190</v>
      </c>
      <c r="B192" s="8" t="n"/>
      <c r="C192" s="9" t="n"/>
      <c r="D192" s="16" t="n"/>
      <c r="E192" s="17" t="n"/>
      <c r="F192" s="10" t="n"/>
      <c r="G192" s="18" t="n"/>
      <c r="H192" s="9" t="n"/>
    </row>
    <row r="193">
      <c r="A193" s="3" t="n">
        <v>191</v>
      </c>
      <c r="B193" s="4" t="n"/>
      <c r="C193" s="5" t="n"/>
      <c r="D193" s="13" t="n"/>
      <c r="E193" s="14" t="n"/>
      <c r="F193" s="6" t="n"/>
      <c r="G193" s="15" t="n"/>
      <c r="H193" s="5" t="n"/>
    </row>
    <row r="194">
      <c r="A194" s="7" t="n">
        <v>192</v>
      </c>
      <c r="B194" s="8" t="n"/>
      <c r="C194" s="9" t="n"/>
      <c r="D194" s="16" t="n"/>
      <c r="E194" s="17" t="n"/>
      <c r="F194" s="10" t="n"/>
      <c r="G194" s="18" t="n"/>
      <c r="H194" s="9" t="n"/>
    </row>
    <row r="195">
      <c r="A195" s="3" t="n">
        <v>193</v>
      </c>
      <c r="B195" s="4" t="n"/>
      <c r="C195" s="5" t="n"/>
      <c r="D195" s="13" t="n"/>
      <c r="E195" s="14" t="n"/>
      <c r="F195" s="6" t="n"/>
      <c r="G195" s="15" t="n"/>
      <c r="H195" s="5" t="n"/>
    </row>
    <row r="196">
      <c r="A196" s="7" t="n">
        <v>194</v>
      </c>
      <c r="B196" s="8" t="n"/>
      <c r="C196" s="9" t="n"/>
      <c r="D196" s="16" t="n"/>
      <c r="E196" s="17" t="n"/>
      <c r="F196" s="10" t="n"/>
      <c r="G196" s="18" t="n"/>
      <c r="H196" s="9" t="n"/>
    </row>
    <row r="197">
      <c r="A197" s="3" t="n">
        <v>195</v>
      </c>
      <c r="B197" s="4" t="n"/>
      <c r="C197" s="5" t="n"/>
      <c r="D197" s="13" t="n"/>
      <c r="E197" s="14" t="n"/>
      <c r="F197" s="6" t="n"/>
      <c r="G197" s="15" t="n"/>
      <c r="H197" s="5" t="n"/>
    </row>
    <row r="198">
      <c r="A198" s="7" t="n">
        <v>196</v>
      </c>
      <c r="B198" s="8" t="n"/>
      <c r="C198" s="9" t="n"/>
      <c r="D198" s="16" t="n"/>
      <c r="E198" s="17" t="n"/>
      <c r="F198" s="10" t="n"/>
      <c r="G198" s="18" t="n"/>
      <c r="H198" s="9" t="n"/>
    </row>
    <row r="199">
      <c r="A199" s="3" t="n">
        <v>197</v>
      </c>
      <c r="B199" s="4" t="n"/>
      <c r="C199" s="5" t="n"/>
      <c r="D199" s="13" t="n"/>
      <c r="E199" s="14" t="n"/>
      <c r="F199" s="6" t="n"/>
      <c r="G199" s="15" t="n"/>
      <c r="H199" s="5" t="n"/>
    </row>
    <row r="200">
      <c r="A200" s="7" t="n">
        <v>198</v>
      </c>
      <c r="B200" s="8" t="n"/>
      <c r="C200" s="9" t="n"/>
      <c r="D200" s="16" t="n"/>
      <c r="E200" s="17" t="n"/>
      <c r="F200" s="10" t="n"/>
      <c r="G200" s="18" t="n"/>
      <c r="H200" s="9" t="n"/>
    </row>
    <row r="201">
      <c r="A201" s="3" t="n">
        <v>199</v>
      </c>
      <c r="B201" s="4" t="n"/>
      <c r="C201" s="5" t="n"/>
      <c r="D201" s="13" t="n"/>
      <c r="E201" s="14" t="n"/>
      <c r="F201" s="6" t="n"/>
      <c r="G201" s="15" t="n"/>
      <c r="H201" s="5" t="n"/>
    </row>
    <row r="202">
      <c r="A202" s="7" t="n">
        <v>200</v>
      </c>
      <c r="B202" s="8" t="n"/>
      <c r="C202" s="9" t="n"/>
      <c r="D202" s="16" t="n"/>
      <c r="E202" s="17" t="n"/>
      <c r="F202" s="10" t="n"/>
      <c r="G202" s="18" t="n"/>
      <c r="H202" s="9" t="n"/>
    </row>
    <row r="203">
      <c r="E203" s="11" t="inlineStr">
        <is>
          <t>TOTAL</t>
        </is>
      </c>
      <c r="F203" s="19">
        <f>SUM(F3:F202)</f>
        <v/>
      </c>
    </row>
  </sheetData>
  <mergeCells count="1">
    <mergeCell ref="A1:H1"/>
  </mergeCells>
  <dataValidations count="1">
    <dataValidation sqref="C3:C202" showDropDown="0" showInputMessage="0" showErrorMessage="0" allowBlank="1" promptTitle="Vehicle" prompt="Select vehicle" type="list">
      <formula1>"Car,Truck,Trailer"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22" customWidth="1" min="4" max="4"/>
    <col width="22" customWidth="1" min="5" max="5"/>
    <col width="12" customWidth="1" min="6" max="6"/>
    <col width="12" customWidth="1" min="7" max="7"/>
    <col width="14" customWidth="1" min="8" max="8"/>
    <col width="14" customWidth="1" min="9" max="9"/>
  </cols>
  <sheetData>
    <row r="1" ht="36" customHeight="1">
      <c r="A1" s="1" t="inlineStr">
        <is>
          <t>TOTALGUARD YARD CARE — 2026 MILEAGE LOG</t>
        </is>
      </c>
    </row>
    <row r="2" ht="28" customHeight="1">
      <c r="A2" s="2" t="inlineStr">
        <is>
          <t>#</t>
        </is>
      </c>
      <c r="B2" s="2" t="inlineStr">
        <is>
          <t>Date</t>
        </is>
      </c>
      <c r="C2" s="2" t="inlineStr">
        <is>
          <t>Purpose</t>
        </is>
      </c>
      <c r="D2" s="2" t="inlineStr">
        <is>
          <t>From</t>
        </is>
      </c>
      <c r="E2" s="2" t="inlineStr">
        <is>
          <t>To</t>
        </is>
      </c>
      <c r="F2" s="2" t="inlineStr">
        <is>
          <t>Start Miles</t>
        </is>
      </c>
      <c r="G2" s="2" t="inlineStr">
        <is>
          <t>End Miles</t>
        </is>
      </c>
      <c r="H2" s="2" t="inlineStr">
        <is>
          <t>Miles Driven</t>
        </is>
      </c>
      <c r="I2" s="2" t="inlineStr">
        <is>
          <t>Deduction</t>
        </is>
      </c>
    </row>
    <row r="3">
      <c r="A3" s="3" t="n">
        <v>1</v>
      </c>
      <c r="B3" s="4" t="n"/>
      <c r="C3" s="5" t="n"/>
      <c r="D3" s="5" t="n"/>
      <c r="E3" s="5" t="n"/>
      <c r="F3" s="20" t="n"/>
      <c r="G3" s="20" t="n"/>
      <c r="H3" s="21">
        <f>IF(AND(F3&lt;&gt;"",G3&lt;&gt;""),G3-F3,"")</f>
        <v/>
      </c>
      <c r="I3" s="6">
        <f>IF(H3&lt;&gt;"",H3*0.70,"")</f>
        <v/>
      </c>
    </row>
    <row r="4">
      <c r="A4" s="7" t="n">
        <v>2</v>
      </c>
      <c r="B4" s="8" t="n"/>
      <c r="C4" s="9" t="n"/>
      <c r="D4" s="9" t="n"/>
      <c r="E4" s="9" t="n"/>
      <c r="F4" s="22" t="n"/>
      <c r="G4" s="22" t="n"/>
      <c r="H4" s="23">
        <f>IF(AND(F4&lt;&gt;"",G4&lt;&gt;""),G4-F4,"")</f>
        <v/>
      </c>
      <c r="I4" s="10">
        <f>IF(H4&lt;&gt;"",H4*0.70,"")</f>
        <v/>
      </c>
    </row>
    <row r="5">
      <c r="A5" s="3" t="n">
        <v>3</v>
      </c>
      <c r="B5" s="4" t="n"/>
      <c r="C5" s="5" t="n"/>
      <c r="D5" s="5" t="n"/>
      <c r="E5" s="5" t="n"/>
      <c r="F5" s="20" t="n"/>
      <c r="G5" s="20" t="n"/>
      <c r="H5" s="21">
        <f>IF(AND(F5&lt;&gt;"",G5&lt;&gt;""),G5-F5,"")</f>
        <v/>
      </c>
      <c r="I5" s="6">
        <f>IF(H5&lt;&gt;"",H5*0.70,"")</f>
        <v/>
      </c>
    </row>
    <row r="6">
      <c r="A6" s="7" t="n">
        <v>4</v>
      </c>
      <c r="B6" s="8" t="n"/>
      <c r="C6" s="9" t="n"/>
      <c r="D6" s="9" t="n"/>
      <c r="E6" s="9" t="n"/>
      <c r="F6" s="22" t="n"/>
      <c r="G6" s="22" t="n"/>
      <c r="H6" s="23">
        <f>IF(AND(F6&lt;&gt;"",G6&lt;&gt;""),G6-F6,"")</f>
        <v/>
      </c>
      <c r="I6" s="10">
        <f>IF(H6&lt;&gt;"",H6*0.70,"")</f>
        <v/>
      </c>
    </row>
    <row r="7">
      <c r="A7" s="3" t="n">
        <v>5</v>
      </c>
      <c r="B7" s="4" t="n"/>
      <c r="C7" s="5" t="n"/>
      <c r="D7" s="5" t="n"/>
      <c r="E7" s="5" t="n"/>
      <c r="F7" s="20" t="n"/>
      <c r="G7" s="20" t="n"/>
      <c r="H7" s="21">
        <f>IF(AND(F7&lt;&gt;"",G7&lt;&gt;""),G7-F7,"")</f>
        <v/>
      </c>
      <c r="I7" s="6">
        <f>IF(H7&lt;&gt;"",H7*0.70,"")</f>
        <v/>
      </c>
    </row>
    <row r="8">
      <c r="A8" s="7" t="n">
        <v>6</v>
      </c>
      <c r="B8" s="8" t="n"/>
      <c r="C8" s="9" t="n"/>
      <c r="D8" s="9" t="n"/>
      <c r="E8" s="9" t="n"/>
      <c r="F8" s="22" t="n"/>
      <c r="G8" s="22" t="n"/>
      <c r="H8" s="23">
        <f>IF(AND(F8&lt;&gt;"",G8&lt;&gt;""),G8-F8,"")</f>
        <v/>
      </c>
      <c r="I8" s="10">
        <f>IF(H8&lt;&gt;"",H8*0.70,"")</f>
        <v/>
      </c>
    </row>
    <row r="9">
      <c r="A9" s="3" t="n">
        <v>7</v>
      </c>
      <c r="B9" s="4" t="n"/>
      <c r="C9" s="5" t="n"/>
      <c r="D9" s="5" t="n"/>
      <c r="E9" s="5" t="n"/>
      <c r="F9" s="20" t="n"/>
      <c r="G9" s="20" t="n"/>
      <c r="H9" s="21">
        <f>IF(AND(F9&lt;&gt;"",G9&lt;&gt;""),G9-F9,"")</f>
        <v/>
      </c>
      <c r="I9" s="6">
        <f>IF(H9&lt;&gt;"",H9*0.70,"")</f>
        <v/>
      </c>
    </row>
    <row r="10">
      <c r="A10" s="7" t="n">
        <v>8</v>
      </c>
      <c r="B10" s="8" t="n"/>
      <c r="C10" s="9" t="n"/>
      <c r="D10" s="9" t="n"/>
      <c r="E10" s="9" t="n"/>
      <c r="F10" s="22" t="n"/>
      <c r="G10" s="22" t="n"/>
      <c r="H10" s="23">
        <f>IF(AND(F10&lt;&gt;"",G10&lt;&gt;""),G10-F10,"")</f>
        <v/>
      </c>
      <c r="I10" s="10">
        <f>IF(H10&lt;&gt;"",H10*0.70,"")</f>
        <v/>
      </c>
    </row>
    <row r="11">
      <c r="A11" s="3" t="n">
        <v>9</v>
      </c>
      <c r="B11" s="4" t="n"/>
      <c r="C11" s="5" t="n"/>
      <c r="D11" s="5" t="n"/>
      <c r="E11" s="5" t="n"/>
      <c r="F11" s="20" t="n"/>
      <c r="G11" s="20" t="n"/>
      <c r="H11" s="21">
        <f>IF(AND(F11&lt;&gt;"",G11&lt;&gt;""),G11-F11,"")</f>
        <v/>
      </c>
      <c r="I11" s="6">
        <f>IF(H11&lt;&gt;"",H11*0.70,"")</f>
        <v/>
      </c>
    </row>
    <row r="12">
      <c r="A12" s="7" t="n">
        <v>10</v>
      </c>
      <c r="B12" s="8" t="n"/>
      <c r="C12" s="9" t="n"/>
      <c r="D12" s="9" t="n"/>
      <c r="E12" s="9" t="n"/>
      <c r="F12" s="22" t="n"/>
      <c r="G12" s="22" t="n"/>
      <c r="H12" s="23">
        <f>IF(AND(F12&lt;&gt;"",G12&lt;&gt;""),G12-F12,"")</f>
        <v/>
      </c>
      <c r="I12" s="10">
        <f>IF(H12&lt;&gt;"",H12*0.70,"")</f>
        <v/>
      </c>
    </row>
    <row r="13">
      <c r="A13" s="3" t="n">
        <v>11</v>
      </c>
      <c r="B13" s="4" t="n"/>
      <c r="C13" s="5" t="n"/>
      <c r="D13" s="5" t="n"/>
      <c r="E13" s="5" t="n"/>
      <c r="F13" s="20" t="n"/>
      <c r="G13" s="20" t="n"/>
      <c r="H13" s="21">
        <f>IF(AND(F13&lt;&gt;"",G13&lt;&gt;""),G13-F13,"")</f>
        <v/>
      </c>
      <c r="I13" s="6">
        <f>IF(H13&lt;&gt;"",H13*0.70,"")</f>
        <v/>
      </c>
    </row>
    <row r="14">
      <c r="A14" s="7" t="n">
        <v>12</v>
      </c>
      <c r="B14" s="8" t="n"/>
      <c r="C14" s="9" t="n"/>
      <c r="D14" s="9" t="n"/>
      <c r="E14" s="9" t="n"/>
      <c r="F14" s="22" t="n"/>
      <c r="G14" s="22" t="n"/>
      <c r="H14" s="23">
        <f>IF(AND(F14&lt;&gt;"",G14&lt;&gt;""),G14-F14,"")</f>
        <v/>
      </c>
      <c r="I14" s="10">
        <f>IF(H14&lt;&gt;"",H14*0.70,"")</f>
        <v/>
      </c>
    </row>
    <row r="15">
      <c r="A15" s="3" t="n">
        <v>13</v>
      </c>
      <c r="B15" s="4" t="n"/>
      <c r="C15" s="5" t="n"/>
      <c r="D15" s="5" t="n"/>
      <c r="E15" s="5" t="n"/>
      <c r="F15" s="20" t="n"/>
      <c r="G15" s="20" t="n"/>
      <c r="H15" s="21">
        <f>IF(AND(F15&lt;&gt;"",G15&lt;&gt;""),G15-F15,"")</f>
        <v/>
      </c>
      <c r="I15" s="6">
        <f>IF(H15&lt;&gt;"",H15*0.70,"")</f>
        <v/>
      </c>
    </row>
    <row r="16">
      <c r="A16" s="7" t="n">
        <v>14</v>
      </c>
      <c r="B16" s="8" t="n"/>
      <c r="C16" s="9" t="n"/>
      <c r="D16" s="9" t="n"/>
      <c r="E16" s="9" t="n"/>
      <c r="F16" s="22" t="n"/>
      <c r="G16" s="22" t="n"/>
      <c r="H16" s="23">
        <f>IF(AND(F16&lt;&gt;"",G16&lt;&gt;""),G16-F16,"")</f>
        <v/>
      </c>
      <c r="I16" s="10">
        <f>IF(H16&lt;&gt;"",H16*0.70,"")</f>
        <v/>
      </c>
    </row>
    <row r="17">
      <c r="A17" s="3" t="n">
        <v>15</v>
      </c>
      <c r="B17" s="4" t="n"/>
      <c r="C17" s="5" t="n"/>
      <c r="D17" s="5" t="n"/>
      <c r="E17" s="5" t="n"/>
      <c r="F17" s="20" t="n"/>
      <c r="G17" s="20" t="n"/>
      <c r="H17" s="21">
        <f>IF(AND(F17&lt;&gt;"",G17&lt;&gt;""),G17-F17,"")</f>
        <v/>
      </c>
      <c r="I17" s="6">
        <f>IF(H17&lt;&gt;"",H17*0.70,"")</f>
        <v/>
      </c>
    </row>
    <row r="18">
      <c r="A18" s="7" t="n">
        <v>16</v>
      </c>
      <c r="B18" s="8" t="n"/>
      <c r="C18" s="9" t="n"/>
      <c r="D18" s="9" t="n"/>
      <c r="E18" s="9" t="n"/>
      <c r="F18" s="22" t="n"/>
      <c r="G18" s="22" t="n"/>
      <c r="H18" s="23">
        <f>IF(AND(F18&lt;&gt;"",G18&lt;&gt;""),G18-F18,"")</f>
        <v/>
      </c>
      <c r="I18" s="10">
        <f>IF(H18&lt;&gt;"",H18*0.70,"")</f>
        <v/>
      </c>
    </row>
    <row r="19">
      <c r="A19" s="3" t="n">
        <v>17</v>
      </c>
      <c r="B19" s="4" t="n"/>
      <c r="C19" s="5" t="n"/>
      <c r="D19" s="5" t="n"/>
      <c r="E19" s="5" t="n"/>
      <c r="F19" s="20" t="n"/>
      <c r="G19" s="20" t="n"/>
      <c r="H19" s="21">
        <f>IF(AND(F19&lt;&gt;"",G19&lt;&gt;""),G19-F19,"")</f>
        <v/>
      </c>
      <c r="I19" s="6">
        <f>IF(H19&lt;&gt;"",H19*0.70,"")</f>
        <v/>
      </c>
    </row>
    <row r="20">
      <c r="A20" s="7" t="n">
        <v>18</v>
      </c>
      <c r="B20" s="8" t="n"/>
      <c r="C20" s="9" t="n"/>
      <c r="D20" s="9" t="n"/>
      <c r="E20" s="9" t="n"/>
      <c r="F20" s="22" t="n"/>
      <c r="G20" s="22" t="n"/>
      <c r="H20" s="23">
        <f>IF(AND(F20&lt;&gt;"",G20&lt;&gt;""),G20-F20,"")</f>
        <v/>
      </c>
      <c r="I20" s="10">
        <f>IF(H20&lt;&gt;"",H20*0.70,"")</f>
        <v/>
      </c>
    </row>
    <row r="21">
      <c r="A21" s="3" t="n">
        <v>19</v>
      </c>
      <c r="B21" s="4" t="n"/>
      <c r="C21" s="5" t="n"/>
      <c r="D21" s="5" t="n"/>
      <c r="E21" s="5" t="n"/>
      <c r="F21" s="20" t="n"/>
      <c r="G21" s="20" t="n"/>
      <c r="H21" s="21">
        <f>IF(AND(F21&lt;&gt;"",G21&lt;&gt;""),G21-F21,"")</f>
        <v/>
      </c>
      <c r="I21" s="6">
        <f>IF(H21&lt;&gt;"",H21*0.70,"")</f>
        <v/>
      </c>
    </row>
    <row r="22">
      <c r="A22" s="7" t="n">
        <v>20</v>
      </c>
      <c r="B22" s="8" t="n"/>
      <c r="C22" s="9" t="n"/>
      <c r="D22" s="9" t="n"/>
      <c r="E22" s="9" t="n"/>
      <c r="F22" s="22" t="n"/>
      <c r="G22" s="22" t="n"/>
      <c r="H22" s="23">
        <f>IF(AND(F22&lt;&gt;"",G22&lt;&gt;""),G22-F22,"")</f>
        <v/>
      </c>
      <c r="I22" s="10">
        <f>IF(H22&lt;&gt;"",H22*0.70,"")</f>
        <v/>
      </c>
    </row>
    <row r="23">
      <c r="A23" s="3" t="n">
        <v>21</v>
      </c>
      <c r="B23" s="4" t="n"/>
      <c r="C23" s="5" t="n"/>
      <c r="D23" s="5" t="n"/>
      <c r="E23" s="5" t="n"/>
      <c r="F23" s="20" t="n"/>
      <c r="G23" s="20" t="n"/>
      <c r="H23" s="21">
        <f>IF(AND(F23&lt;&gt;"",G23&lt;&gt;""),G23-F23,"")</f>
        <v/>
      </c>
      <c r="I23" s="6">
        <f>IF(H23&lt;&gt;"",H23*0.70,"")</f>
        <v/>
      </c>
    </row>
    <row r="24">
      <c r="A24" s="7" t="n">
        <v>22</v>
      </c>
      <c r="B24" s="8" t="n"/>
      <c r="C24" s="9" t="n"/>
      <c r="D24" s="9" t="n"/>
      <c r="E24" s="9" t="n"/>
      <c r="F24" s="22" t="n"/>
      <c r="G24" s="22" t="n"/>
      <c r="H24" s="23">
        <f>IF(AND(F24&lt;&gt;"",G24&lt;&gt;""),G24-F24,"")</f>
        <v/>
      </c>
      <c r="I24" s="10">
        <f>IF(H24&lt;&gt;"",H24*0.70,"")</f>
        <v/>
      </c>
    </row>
    <row r="25">
      <c r="A25" s="3" t="n">
        <v>23</v>
      </c>
      <c r="B25" s="4" t="n"/>
      <c r="C25" s="5" t="n"/>
      <c r="D25" s="5" t="n"/>
      <c r="E25" s="5" t="n"/>
      <c r="F25" s="20" t="n"/>
      <c r="G25" s="20" t="n"/>
      <c r="H25" s="21">
        <f>IF(AND(F25&lt;&gt;"",G25&lt;&gt;""),G25-F25,"")</f>
        <v/>
      </c>
      <c r="I25" s="6">
        <f>IF(H25&lt;&gt;"",H25*0.70,"")</f>
        <v/>
      </c>
    </row>
    <row r="26">
      <c r="A26" s="7" t="n">
        <v>24</v>
      </c>
      <c r="B26" s="8" t="n"/>
      <c r="C26" s="9" t="n"/>
      <c r="D26" s="9" t="n"/>
      <c r="E26" s="9" t="n"/>
      <c r="F26" s="22" t="n"/>
      <c r="G26" s="22" t="n"/>
      <c r="H26" s="23">
        <f>IF(AND(F26&lt;&gt;"",G26&lt;&gt;""),G26-F26,"")</f>
        <v/>
      </c>
      <c r="I26" s="10">
        <f>IF(H26&lt;&gt;"",H26*0.70,"")</f>
        <v/>
      </c>
    </row>
    <row r="27">
      <c r="A27" s="3" t="n">
        <v>25</v>
      </c>
      <c r="B27" s="4" t="n"/>
      <c r="C27" s="5" t="n"/>
      <c r="D27" s="5" t="n"/>
      <c r="E27" s="5" t="n"/>
      <c r="F27" s="20" t="n"/>
      <c r="G27" s="20" t="n"/>
      <c r="H27" s="21">
        <f>IF(AND(F27&lt;&gt;"",G27&lt;&gt;""),G27-F27,"")</f>
        <v/>
      </c>
      <c r="I27" s="6">
        <f>IF(H27&lt;&gt;"",H27*0.70,"")</f>
        <v/>
      </c>
    </row>
    <row r="28">
      <c r="A28" s="7" t="n">
        <v>26</v>
      </c>
      <c r="B28" s="8" t="n"/>
      <c r="C28" s="9" t="n"/>
      <c r="D28" s="9" t="n"/>
      <c r="E28" s="9" t="n"/>
      <c r="F28" s="22" t="n"/>
      <c r="G28" s="22" t="n"/>
      <c r="H28" s="23">
        <f>IF(AND(F28&lt;&gt;"",G28&lt;&gt;""),G28-F28,"")</f>
        <v/>
      </c>
      <c r="I28" s="10">
        <f>IF(H28&lt;&gt;"",H28*0.70,"")</f>
        <v/>
      </c>
    </row>
    <row r="29">
      <c r="A29" s="3" t="n">
        <v>27</v>
      </c>
      <c r="B29" s="4" t="n"/>
      <c r="C29" s="5" t="n"/>
      <c r="D29" s="5" t="n"/>
      <c r="E29" s="5" t="n"/>
      <c r="F29" s="20" t="n"/>
      <c r="G29" s="20" t="n"/>
      <c r="H29" s="21">
        <f>IF(AND(F29&lt;&gt;"",G29&lt;&gt;""),G29-F29,"")</f>
        <v/>
      </c>
      <c r="I29" s="6">
        <f>IF(H29&lt;&gt;"",H29*0.70,"")</f>
        <v/>
      </c>
    </row>
    <row r="30">
      <c r="A30" s="7" t="n">
        <v>28</v>
      </c>
      <c r="B30" s="8" t="n"/>
      <c r="C30" s="9" t="n"/>
      <c r="D30" s="9" t="n"/>
      <c r="E30" s="9" t="n"/>
      <c r="F30" s="22" t="n"/>
      <c r="G30" s="22" t="n"/>
      <c r="H30" s="23">
        <f>IF(AND(F30&lt;&gt;"",G30&lt;&gt;""),G30-F30,"")</f>
        <v/>
      </c>
      <c r="I30" s="10">
        <f>IF(H30&lt;&gt;"",H30*0.70,"")</f>
        <v/>
      </c>
    </row>
    <row r="31">
      <c r="A31" s="3" t="n">
        <v>29</v>
      </c>
      <c r="B31" s="4" t="n"/>
      <c r="C31" s="5" t="n"/>
      <c r="D31" s="5" t="n"/>
      <c r="E31" s="5" t="n"/>
      <c r="F31" s="20" t="n"/>
      <c r="G31" s="20" t="n"/>
      <c r="H31" s="21">
        <f>IF(AND(F31&lt;&gt;"",G31&lt;&gt;""),G31-F31,"")</f>
        <v/>
      </c>
      <c r="I31" s="6">
        <f>IF(H31&lt;&gt;"",H31*0.70,"")</f>
        <v/>
      </c>
    </row>
    <row r="32">
      <c r="A32" s="7" t="n">
        <v>30</v>
      </c>
      <c r="B32" s="8" t="n"/>
      <c r="C32" s="9" t="n"/>
      <c r="D32" s="9" t="n"/>
      <c r="E32" s="9" t="n"/>
      <c r="F32" s="22" t="n"/>
      <c r="G32" s="22" t="n"/>
      <c r="H32" s="23">
        <f>IF(AND(F32&lt;&gt;"",G32&lt;&gt;""),G32-F32,"")</f>
        <v/>
      </c>
      <c r="I32" s="10">
        <f>IF(H32&lt;&gt;"",H32*0.70,"")</f>
        <v/>
      </c>
    </row>
    <row r="33">
      <c r="A33" s="3" t="n">
        <v>31</v>
      </c>
      <c r="B33" s="4" t="n"/>
      <c r="C33" s="5" t="n"/>
      <c r="D33" s="5" t="n"/>
      <c r="E33" s="5" t="n"/>
      <c r="F33" s="20" t="n"/>
      <c r="G33" s="20" t="n"/>
      <c r="H33" s="21">
        <f>IF(AND(F33&lt;&gt;"",G33&lt;&gt;""),G33-F33,"")</f>
        <v/>
      </c>
      <c r="I33" s="6">
        <f>IF(H33&lt;&gt;"",H33*0.70,"")</f>
        <v/>
      </c>
    </row>
    <row r="34">
      <c r="A34" s="7" t="n">
        <v>32</v>
      </c>
      <c r="B34" s="8" t="n"/>
      <c r="C34" s="9" t="n"/>
      <c r="D34" s="9" t="n"/>
      <c r="E34" s="9" t="n"/>
      <c r="F34" s="22" t="n"/>
      <c r="G34" s="22" t="n"/>
      <c r="H34" s="23">
        <f>IF(AND(F34&lt;&gt;"",G34&lt;&gt;""),G34-F34,"")</f>
        <v/>
      </c>
      <c r="I34" s="10">
        <f>IF(H34&lt;&gt;"",H34*0.70,"")</f>
        <v/>
      </c>
    </row>
    <row r="35">
      <c r="A35" s="3" t="n">
        <v>33</v>
      </c>
      <c r="B35" s="4" t="n"/>
      <c r="C35" s="5" t="n"/>
      <c r="D35" s="5" t="n"/>
      <c r="E35" s="5" t="n"/>
      <c r="F35" s="20" t="n"/>
      <c r="G35" s="20" t="n"/>
      <c r="H35" s="21">
        <f>IF(AND(F35&lt;&gt;"",G35&lt;&gt;""),G35-F35,"")</f>
        <v/>
      </c>
      <c r="I35" s="6">
        <f>IF(H35&lt;&gt;"",H35*0.70,"")</f>
        <v/>
      </c>
    </row>
    <row r="36">
      <c r="A36" s="7" t="n">
        <v>34</v>
      </c>
      <c r="B36" s="8" t="n"/>
      <c r="C36" s="9" t="n"/>
      <c r="D36" s="9" t="n"/>
      <c r="E36" s="9" t="n"/>
      <c r="F36" s="22" t="n"/>
      <c r="G36" s="22" t="n"/>
      <c r="H36" s="23">
        <f>IF(AND(F36&lt;&gt;"",G36&lt;&gt;""),G36-F36,"")</f>
        <v/>
      </c>
      <c r="I36" s="10">
        <f>IF(H36&lt;&gt;"",H36*0.70,"")</f>
        <v/>
      </c>
    </row>
    <row r="37">
      <c r="A37" s="3" t="n">
        <v>35</v>
      </c>
      <c r="B37" s="4" t="n"/>
      <c r="C37" s="5" t="n"/>
      <c r="D37" s="5" t="n"/>
      <c r="E37" s="5" t="n"/>
      <c r="F37" s="20" t="n"/>
      <c r="G37" s="20" t="n"/>
      <c r="H37" s="21">
        <f>IF(AND(F37&lt;&gt;"",G37&lt;&gt;""),G37-F37,"")</f>
        <v/>
      </c>
      <c r="I37" s="6">
        <f>IF(H37&lt;&gt;"",H37*0.70,"")</f>
        <v/>
      </c>
    </row>
    <row r="38">
      <c r="A38" s="7" t="n">
        <v>36</v>
      </c>
      <c r="B38" s="8" t="n"/>
      <c r="C38" s="9" t="n"/>
      <c r="D38" s="9" t="n"/>
      <c r="E38" s="9" t="n"/>
      <c r="F38" s="22" t="n"/>
      <c r="G38" s="22" t="n"/>
      <c r="H38" s="23">
        <f>IF(AND(F38&lt;&gt;"",G38&lt;&gt;""),G38-F38,"")</f>
        <v/>
      </c>
      <c r="I38" s="10">
        <f>IF(H38&lt;&gt;"",H38*0.70,"")</f>
        <v/>
      </c>
    </row>
    <row r="39">
      <c r="A39" s="3" t="n">
        <v>37</v>
      </c>
      <c r="B39" s="4" t="n"/>
      <c r="C39" s="5" t="n"/>
      <c r="D39" s="5" t="n"/>
      <c r="E39" s="5" t="n"/>
      <c r="F39" s="20" t="n"/>
      <c r="G39" s="20" t="n"/>
      <c r="H39" s="21">
        <f>IF(AND(F39&lt;&gt;"",G39&lt;&gt;""),G39-F39,"")</f>
        <v/>
      </c>
      <c r="I39" s="6">
        <f>IF(H39&lt;&gt;"",H39*0.70,"")</f>
        <v/>
      </c>
    </row>
    <row r="40">
      <c r="A40" s="7" t="n">
        <v>38</v>
      </c>
      <c r="B40" s="8" t="n"/>
      <c r="C40" s="9" t="n"/>
      <c r="D40" s="9" t="n"/>
      <c r="E40" s="9" t="n"/>
      <c r="F40" s="22" t="n"/>
      <c r="G40" s="22" t="n"/>
      <c r="H40" s="23">
        <f>IF(AND(F40&lt;&gt;"",G40&lt;&gt;""),G40-F40,"")</f>
        <v/>
      </c>
      <c r="I40" s="10">
        <f>IF(H40&lt;&gt;"",H40*0.70,"")</f>
        <v/>
      </c>
    </row>
    <row r="41">
      <c r="A41" s="3" t="n">
        <v>39</v>
      </c>
      <c r="B41" s="4" t="n"/>
      <c r="C41" s="5" t="n"/>
      <c r="D41" s="5" t="n"/>
      <c r="E41" s="5" t="n"/>
      <c r="F41" s="20" t="n"/>
      <c r="G41" s="20" t="n"/>
      <c r="H41" s="21">
        <f>IF(AND(F41&lt;&gt;"",G41&lt;&gt;""),G41-F41,"")</f>
        <v/>
      </c>
      <c r="I41" s="6">
        <f>IF(H41&lt;&gt;"",H41*0.70,"")</f>
        <v/>
      </c>
    </row>
    <row r="42">
      <c r="A42" s="7" t="n">
        <v>40</v>
      </c>
      <c r="B42" s="8" t="n"/>
      <c r="C42" s="9" t="n"/>
      <c r="D42" s="9" t="n"/>
      <c r="E42" s="9" t="n"/>
      <c r="F42" s="22" t="n"/>
      <c r="G42" s="22" t="n"/>
      <c r="H42" s="23">
        <f>IF(AND(F42&lt;&gt;"",G42&lt;&gt;""),G42-F42,"")</f>
        <v/>
      </c>
      <c r="I42" s="10">
        <f>IF(H42&lt;&gt;"",H42*0.70,"")</f>
        <v/>
      </c>
    </row>
    <row r="43">
      <c r="A43" s="3" t="n">
        <v>41</v>
      </c>
      <c r="B43" s="4" t="n"/>
      <c r="C43" s="5" t="n"/>
      <c r="D43" s="5" t="n"/>
      <c r="E43" s="5" t="n"/>
      <c r="F43" s="20" t="n"/>
      <c r="G43" s="20" t="n"/>
      <c r="H43" s="21">
        <f>IF(AND(F43&lt;&gt;"",G43&lt;&gt;""),G43-F43,"")</f>
        <v/>
      </c>
      <c r="I43" s="6">
        <f>IF(H43&lt;&gt;"",H43*0.70,"")</f>
        <v/>
      </c>
    </row>
    <row r="44">
      <c r="A44" s="7" t="n">
        <v>42</v>
      </c>
      <c r="B44" s="8" t="n"/>
      <c r="C44" s="9" t="n"/>
      <c r="D44" s="9" t="n"/>
      <c r="E44" s="9" t="n"/>
      <c r="F44" s="22" t="n"/>
      <c r="G44" s="22" t="n"/>
      <c r="H44" s="23">
        <f>IF(AND(F44&lt;&gt;"",G44&lt;&gt;""),G44-F44,"")</f>
        <v/>
      </c>
      <c r="I44" s="10">
        <f>IF(H44&lt;&gt;"",H44*0.70,"")</f>
        <v/>
      </c>
    </row>
    <row r="45">
      <c r="A45" s="3" t="n">
        <v>43</v>
      </c>
      <c r="B45" s="4" t="n"/>
      <c r="C45" s="5" t="n"/>
      <c r="D45" s="5" t="n"/>
      <c r="E45" s="5" t="n"/>
      <c r="F45" s="20" t="n"/>
      <c r="G45" s="20" t="n"/>
      <c r="H45" s="21">
        <f>IF(AND(F45&lt;&gt;"",G45&lt;&gt;""),G45-F45,"")</f>
        <v/>
      </c>
      <c r="I45" s="6">
        <f>IF(H45&lt;&gt;"",H45*0.70,"")</f>
        <v/>
      </c>
    </row>
    <row r="46">
      <c r="A46" s="7" t="n">
        <v>44</v>
      </c>
      <c r="B46" s="8" t="n"/>
      <c r="C46" s="9" t="n"/>
      <c r="D46" s="9" t="n"/>
      <c r="E46" s="9" t="n"/>
      <c r="F46" s="22" t="n"/>
      <c r="G46" s="22" t="n"/>
      <c r="H46" s="23">
        <f>IF(AND(F46&lt;&gt;"",G46&lt;&gt;""),G46-F46,"")</f>
        <v/>
      </c>
      <c r="I46" s="10">
        <f>IF(H46&lt;&gt;"",H46*0.70,"")</f>
        <v/>
      </c>
    </row>
    <row r="47">
      <c r="A47" s="3" t="n">
        <v>45</v>
      </c>
      <c r="B47" s="4" t="n"/>
      <c r="C47" s="5" t="n"/>
      <c r="D47" s="5" t="n"/>
      <c r="E47" s="5" t="n"/>
      <c r="F47" s="20" t="n"/>
      <c r="G47" s="20" t="n"/>
      <c r="H47" s="21">
        <f>IF(AND(F47&lt;&gt;"",G47&lt;&gt;""),G47-F47,"")</f>
        <v/>
      </c>
      <c r="I47" s="6">
        <f>IF(H47&lt;&gt;"",H47*0.70,"")</f>
        <v/>
      </c>
    </row>
    <row r="48">
      <c r="A48" s="7" t="n">
        <v>46</v>
      </c>
      <c r="B48" s="8" t="n"/>
      <c r="C48" s="9" t="n"/>
      <c r="D48" s="9" t="n"/>
      <c r="E48" s="9" t="n"/>
      <c r="F48" s="22" t="n"/>
      <c r="G48" s="22" t="n"/>
      <c r="H48" s="23">
        <f>IF(AND(F48&lt;&gt;"",G48&lt;&gt;""),G48-F48,"")</f>
        <v/>
      </c>
      <c r="I48" s="10">
        <f>IF(H48&lt;&gt;"",H48*0.70,"")</f>
        <v/>
      </c>
    </row>
    <row r="49">
      <c r="A49" s="3" t="n">
        <v>47</v>
      </c>
      <c r="B49" s="4" t="n"/>
      <c r="C49" s="5" t="n"/>
      <c r="D49" s="5" t="n"/>
      <c r="E49" s="5" t="n"/>
      <c r="F49" s="20" t="n"/>
      <c r="G49" s="20" t="n"/>
      <c r="H49" s="21">
        <f>IF(AND(F49&lt;&gt;"",G49&lt;&gt;""),G49-F49,"")</f>
        <v/>
      </c>
      <c r="I49" s="6">
        <f>IF(H49&lt;&gt;"",H49*0.70,"")</f>
        <v/>
      </c>
    </row>
    <row r="50">
      <c r="A50" s="7" t="n">
        <v>48</v>
      </c>
      <c r="B50" s="8" t="n"/>
      <c r="C50" s="9" t="n"/>
      <c r="D50" s="9" t="n"/>
      <c r="E50" s="9" t="n"/>
      <c r="F50" s="22" t="n"/>
      <c r="G50" s="22" t="n"/>
      <c r="H50" s="23">
        <f>IF(AND(F50&lt;&gt;"",G50&lt;&gt;""),G50-F50,"")</f>
        <v/>
      </c>
      <c r="I50" s="10">
        <f>IF(H50&lt;&gt;"",H50*0.70,"")</f>
        <v/>
      </c>
    </row>
    <row r="51">
      <c r="A51" s="3" t="n">
        <v>49</v>
      </c>
      <c r="B51" s="4" t="n"/>
      <c r="C51" s="5" t="n"/>
      <c r="D51" s="5" t="n"/>
      <c r="E51" s="5" t="n"/>
      <c r="F51" s="20" t="n"/>
      <c r="G51" s="20" t="n"/>
      <c r="H51" s="21">
        <f>IF(AND(F51&lt;&gt;"",G51&lt;&gt;""),G51-F51,"")</f>
        <v/>
      </c>
      <c r="I51" s="6">
        <f>IF(H51&lt;&gt;"",H51*0.70,"")</f>
        <v/>
      </c>
    </row>
    <row r="52">
      <c r="A52" s="7" t="n">
        <v>50</v>
      </c>
      <c r="B52" s="8" t="n"/>
      <c r="C52" s="9" t="n"/>
      <c r="D52" s="9" t="n"/>
      <c r="E52" s="9" t="n"/>
      <c r="F52" s="22" t="n"/>
      <c r="G52" s="22" t="n"/>
      <c r="H52" s="23">
        <f>IF(AND(F52&lt;&gt;"",G52&lt;&gt;""),G52-F52,"")</f>
        <v/>
      </c>
      <c r="I52" s="10">
        <f>IF(H52&lt;&gt;"",H52*0.70,"")</f>
        <v/>
      </c>
    </row>
    <row r="53">
      <c r="A53" s="3" t="n">
        <v>51</v>
      </c>
      <c r="B53" s="4" t="n"/>
      <c r="C53" s="5" t="n"/>
      <c r="D53" s="5" t="n"/>
      <c r="E53" s="5" t="n"/>
      <c r="F53" s="20" t="n"/>
      <c r="G53" s="20" t="n"/>
      <c r="H53" s="21">
        <f>IF(AND(F53&lt;&gt;"",G53&lt;&gt;""),G53-F53,"")</f>
        <v/>
      </c>
      <c r="I53" s="6">
        <f>IF(H53&lt;&gt;"",H53*0.70,"")</f>
        <v/>
      </c>
    </row>
    <row r="54">
      <c r="A54" s="7" t="n">
        <v>52</v>
      </c>
      <c r="B54" s="8" t="n"/>
      <c r="C54" s="9" t="n"/>
      <c r="D54" s="9" t="n"/>
      <c r="E54" s="9" t="n"/>
      <c r="F54" s="22" t="n"/>
      <c r="G54" s="22" t="n"/>
      <c r="H54" s="23">
        <f>IF(AND(F54&lt;&gt;"",G54&lt;&gt;""),G54-F54,"")</f>
        <v/>
      </c>
      <c r="I54" s="10">
        <f>IF(H54&lt;&gt;"",H54*0.70,"")</f>
        <v/>
      </c>
    </row>
    <row r="55">
      <c r="A55" s="3" t="n">
        <v>53</v>
      </c>
      <c r="B55" s="4" t="n"/>
      <c r="C55" s="5" t="n"/>
      <c r="D55" s="5" t="n"/>
      <c r="E55" s="5" t="n"/>
      <c r="F55" s="20" t="n"/>
      <c r="G55" s="20" t="n"/>
      <c r="H55" s="21">
        <f>IF(AND(F55&lt;&gt;"",G55&lt;&gt;""),G55-F55,"")</f>
        <v/>
      </c>
      <c r="I55" s="6">
        <f>IF(H55&lt;&gt;"",H55*0.70,"")</f>
        <v/>
      </c>
    </row>
    <row r="56">
      <c r="A56" s="7" t="n">
        <v>54</v>
      </c>
      <c r="B56" s="8" t="n"/>
      <c r="C56" s="9" t="n"/>
      <c r="D56" s="9" t="n"/>
      <c r="E56" s="9" t="n"/>
      <c r="F56" s="22" t="n"/>
      <c r="G56" s="22" t="n"/>
      <c r="H56" s="23">
        <f>IF(AND(F56&lt;&gt;"",G56&lt;&gt;""),G56-F56,"")</f>
        <v/>
      </c>
      <c r="I56" s="10">
        <f>IF(H56&lt;&gt;"",H56*0.70,"")</f>
        <v/>
      </c>
    </row>
    <row r="57">
      <c r="A57" s="3" t="n">
        <v>55</v>
      </c>
      <c r="B57" s="4" t="n"/>
      <c r="C57" s="5" t="n"/>
      <c r="D57" s="5" t="n"/>
      <c r="E57" s="5" t="n"/>
      <c r="F57" s="20" t="n"/>
      <c r="G57" s="20" t="n"/>
      <c r="H57" s="21">
        <f>IF(AND(F57&lt;&gt;"",G57&lt;&gt;""),G57-F57,"")</f>
        <v/>
      </c>
      <c r="I57" s="6">
        <f>IF(H57&lt;&gt;"",H57*0.70,"")</f>
        <v/>
      </c>
    </row>
    <row r="58">
      <c r="A58" s="7" t="n">
        <v>56</v>
      </c>
      <c r="B58" s="8" t="n"/>
      <c r="C58" s="9" t="n"/>
      <c r="D58" s="9" t="n"/>
      <c r="E58" s="9" t="n"/>
      <c r="F58" s="22" t="n"/>
      <c r="G58" s="22" t="n"/>
      <c r="H58" s="23">
        <f>IF(AND(F58&lt;&gt;"",G58&lt;&gt;""),G58-F58,"")</f>
        <v/>
      </c>
      <c r="I58" s="10">
        <f>IF(H58&lt;&gt;"",H58*0.70,"")</f>
        <v/>
      </c>
    </row>
    <row r="59">
      <c r="A59" s="3" t="n">
        <v>57</v>
      </c>
      <c r="B59" s="4" t="n"/>
      <c r="C59" s="5" t="n"/>
      <c r="D59" s="5" t="n"/>
      <c r="E59" s="5" t="n"/>
      <c r="F59" s="20" t="n"/>
      <c r="G59" s="20" t="n"/>
      <c r="H59" s="21">
        <f>IF(AND(F59&lt;&gt;"",G59&lt;&gt;""),G59-F59,"")</f>
        <v/>
      </c>
      <c r="I59" s="6">
        <f>IF(H59&lt;&gt;"",H59*0.70,"")</f>
        <v/>
      </c>
    </row>
    <row r="60">
      <c r="A60" s="7" t="n">
        <v>58</v>
      </c>
      <c r="B60" s="8" t="n"/>
      <c r="C60" s="9" t="n"/>
      <c r="D60" s="9" t="n"/>
      <c r="E60" s="9" t="n"/>
      <c r="F60" s="22" t="n"/>
      <c r="G60" s="22" t="n"/>
      <c r="H60" s="23">
        <f>IF(AND(F60&lt;&gt;"",G60&lt;&gt;""),G60-F60,"")</f>
        <v/>
      </c>
      <c r="I60" s="10">
        <f>IF(H60&lt;&gt;"",H60*0.70,"")</f>
        <v/>
      </c>
    </row>
    <row r="61">
      <c r="A61" s="3" t="n">
        <v>59</v>
      </c>
      <c r="B61" s="4" t="n"/>
      <c r="C61" s="5" t="n"/>
      <c r="D61" s="5" t="n"/>
      <c r="E61" s="5" t="n"/>
      <c r="F61" s="20" t="n"/>
      <c r="G61" s="20" t="n"/>
      <c r="H61" s="21">
        <f>IF(AND(F61&lt;&gt;"",G61&lt;&gt;""),G61-F61,"")</f>
        <v/>
      </c>
      <c r="I61" s="6">
        <f>IF(H61&lt;&gt;"",H61*0.70,"")</f>
        <v/>
      </c>
    </row>
    <row r="62">
      <c r="A62" s="7" t="n">
        <v>60</v>
      </c>
      <c r="B62" s="8" t="n"/>
      <c r="C62" s="9" t="n"/>
      <c r="D62" s="9" t="n"/>
      <c r="E62" s="9" t="n"/>
      <c r="F62" s="22" t="n"/>
      <c r="G62" s="22" t="n"/>
      <c r="H62" s="23">
        <f>IF(AND(F62&lt;&gt;"",G62&lt;&gt;""),G62-F62,"")</f>
        <v/>
      </c>
      <c r="I62" s="10">
        <f>IF(H62&lt;&gt;"",H62*0.70,"")</f>
        <v/>
      </c>
    </row>
    <row r="63">
      <c r="A63" s="3" t="n">
        <v>61</v>
      </c>
      <c r="B63" s="4" t="n"/>
      <c r="C63" s="5" t="n"/>
      <c r="D63" s="5" t="n"/>
      <c r="E63" s="5" t="n"/>
      <c r="F63" s="20" t="n"/>
      <c r="G63" s="20" t="n"/>
      <c r="H63" s="21">
        <f>IF(AND(F63&lt;&gt;"",G63&lt;&gt;""),G63-F63,"")</f>
        <v/>
      </c>
      <c r="I63" s="6">
        <f>IF(H63&lt;&gt;"",H63*0.70,"")</f>
        <v/>
      </c>
    </row>
    <row r="64">
      <c r="A64" s="7" t="n">
        <v>62</v>
      </c>
      <c r="B64" s="8" t="n"/>
      <c r="C64" s="9" t="n"/>
      <c r="D64" s="9" t="n"/>
      <c r="E64" s="9" t="n"/>
      <c r="F64" s="22" t="n"/>
      <c r="G64" s="22" t="n"/>
      <c r="H64" s="23">
        <f>IF(AND(F64&lt;&gt;"",G64&lt;&gt;""),G64-F64,"")</f>
        <v/>
      </c>
      <c r="I64" s="10">
        <f>IF(H64&lt;&gt;"",H64*0.70,"")</f>
        <v/>
      </c>
    </row>
    <row r="65">
      <c r="A65" s="3" t="n">
        <v>63</v>
      </c>
      <c r="B65" s="4" t="n"/>
      <c r="C65" s="5" t="n"/>
      <c r="D65" s="5" t="n"/>
      <c r="E65" s="5" t="n"/>
      <c r="F65" s="20" t="n"/>
      <c r="G65" s="20" t="n"/>
      <c r="H65" s="21">
        <f>IF(AND(F65&lt;&gt;"",G65&lt;&gt;""),G65-F65,"")</f>
        <v/>
      </c>
      <c r="I65" s="6">
        <f>IF(H65&lt;&gt;"",H65*0.70,"")</f>
        <v/>
      </c>
    </row>
    <row r="66">
      <c r="A66" s="7" t="n">
        <v>64</v>
      </c>
      <c r="B66" s="8" t="n"/>
      <c r="C66" s="9" t="n"/>
      <c r="D66" s="9" t="n"/>
      <c r="E66" s="9" t="n"/>
      <c r="F66" s="22" t="n"/>
      <c r="G66" s="22" t="n"/>
      <c r="H66" s="23">
        <f>IF(AND(F66&lt;&gt;"",G66&lt;&gt;""),G66-F66,"")</f>
        <v/>
      </c>
      <c r="I66" s="10">
        <f>IF(H66&lt;&gt;"",H66*0.70,"")</f>
        <v/>
      </c>
    </row>
    <row r="67">
      <c r="A67" s="3" t="n">
        <v>65</v>
      </c>
      <c r="B67" s="4" t="n"/>
      <c r="C67" s="5" t="n"/>
      <c r="D67" s="5" t="n"/>
      <c r="E67" s="5" t="n"/>
      <c r="F67" s="20" t="n"/>
      <c r="G67" s="20" t="n"/>
      <c r="H67" s="21">
        <f>IF(AND(F67&lt;&gt;"",G67&lt;&gt;""),G67-F67,"")</f>
        <v/>
      </c>
      <c r="I67" s="6">
        <f>IF(H67&lt;&gt;"",H67*0.70,"")</f>
        <v/>
      </c>
    </row>
    <row r="68">
      <c r="A68" s="7" t="n">
        <v>66</v>
      </c>
      <c r="B68" s="8" t="n"/>
      <c r="C68" s="9" t="n"/>
      <c r="D68" s="9" t="n"/>
      <c r="E68" s="9" t="n"/>
      <c r="F68" s="22" t="n"/>
      <c r="G68" s="22" t="n"/>
      <c r="H68" s="23">
        <f>IF(AND(F68&lt;&gt;"",G68&lt;&gt;""),G68-F68,"")</f>
        <v/>
      </c>
      <c r="I68" s="10">
        <f>IF(H68&lt;&gt;"",H68*0.70,"")</f>
        <v/>
      </c>
    </row>
    <row r="69">
      <c r="A69" s="3" t="n">
        <v>67</v>
      </c>
      <c r="B69" s="4" t="n"/>
      <c r="C69" s="5" t="n"/>
      <c r="D69" s="5" t="n"/>
      <c r="E69" s="5" t="n"/>
      <c r="F69" s="20" t="n"/>
      <c r="G69" s="20" t="n"/>
      <c r="H69" s="21">
        <f>IF(AND(F69&lt;&gt;"",G69&lt;&gt;""),G69-F69,"")</f>
        <v/>
      </c>
      <c r="I69" s="6">
        <f>IF(H69&lt;&gt;"",H69*0.70,"")</f>
        <v/>
      </c>
    </row>
    <row r="70">
      <c r="A70" s="7" t="n">
        <v>68</v>
      </c>
      <c r="B70" s="8" t="n"/>
      <c r="C70" s="9" t="n"/>
      <c r="D70" s="9" t="n"/>
      <c r="E70" s="9" t="n"/>
      <c r="F70" s="22" t="n"/>
      <c r="G70" s="22" t="n"/>
      <c r="H70" s="23">
        <f>IF(AND(F70&lt;&gt;"",G70&lt;&gt;""),G70-F70,"")</f>
        <v/>
      </c>
      <c r="I70" s="10">
        <f>IF(H70&lt;&gt;"",H70*0.70,"")</f>
        <v/>
      </c>
    </row>
    <row r="71">
      <c r="A71" s="3" t="n">
        <v>69</v>
      </c>
      <c r="B71" s="4" t="n"/>
      <c r="C71" s="5" t="n"/>
      <c r="D71" s="5" t="n"/>
      <c r="E71" s="5" t="n"/>
      <c r="F71" s="20" t="n"/>
      <c r="G71" s="20" t="n"/>
      <c r="H71" s="21">
        <f>IF(AND(F71&lt;&gt;"",G71&lt;&gt;""),G71-F71,"")</f>
        <v/>
      </c>
      <c r="I71" s="6">
        <f>IF(H71&lt;&gt;"",H71*0.70,"")</f>
        <v/>
      </c>
    </row>
    <row r="72">
      <c r="A72" s="7" t="n">
        <v>70</v>
      </c>
      <c r="B72" s="8" t="n"/>
      <c r="C72" s="9" t="n"/>
      <c r="D72" s="9" t="n"/>
      <c r="E72" s="9" t="n"/>
      <c r="F72" s="22" t="n"/>
      <c r="G72" s="22" t="n"/>
      <c r="H72" s="23">
        <f>IF(AND(F72&lt;&gt;"",G72&lt;&gt;""),G72-F72,"")</f>
        <v/>
      </c>
      <c r="I72" s="10">
        <f>IF(H72&lt;&gt;"",H72*0.70,"")</f>
        <v/>
      </c>
    </row>
    <row r="73">
      <c r="A73" s="3" t="n">
        <v>71</v>
      </c>
      <c r="B73" s="4" t="n"/>
      <c r="C73" s="5" t="n"/>
      <c r="D73" s="5" t="n"/>
      <c r="E73" s="5" t="n"/>
      <c r="F73" s="20" t="n"/>
      <c r="G73" s="20" t="n"/>
      <c r="H73" s="21">
        <f>IF(AND(F73&lt;&gt;"",G73&lt;&gt;""),G73-F73,"")</f>
        <v/>
      </c>
      <c r="I73" s="6">
        <f>IF(H73&lt;&gt;"",H73*0.70,"")</f>
        <v/>
      </c>
    </row>
    <row r="74">
      <c r="A74" s="7" t="n">
        <v>72</v>
      </c>
      <c r="B74" s="8" t="n"/>
      <c r="C74" s="9" t="n"/>
      <c r="D74" s="9" t="n"/>
      <c r="E74" s="9" t="n"/>
      <c r="F74" s="22" t="n"/>
      <c r="G74" s="22" t="n"/>
      <c r="H74" s="23">
        <f>IF(AND(F74&lt;&gt;"",G74&lt;&gt;""),G74-F74,"")</f>
        <v/>
      </c>
      <c r="I74" s="10">
        <f>IF(H74&lt;&gt;"",H74*0.70,"")</f>
        <v/>
      </c>
    </row>
    <row r="75">
      <c r="A75" s="3" t="n">
        <v>73</v>
      </c>
      <c r="B75" s="4" t="n"/>
      <c r="C75" s="5" t="n"/>
      <c r="D75" s="5" t="n"/>
      <c r="E75" s="5" t="n"/>
      <c r="F75" s="20" t="n"/>
      <c r="G75" s="20" t="n"/>
      <c r="H75" s="21">
        <f>IF(AND(F75&lt;&gt;"",G75&lt;&gt;""),G75-F75,"")</f>
        <v/>
      </c>
      <c r="I75" s="6">
        <f>IF(H75&lt;&gt;"",H75*0.70,"")</f>
        <v/>
      </c>
    </row>
    <row r="76">
      <c r="A76" s="7" t="n">
        <v>74</v>
      </c>
      <c r="B76" s="8" t="n"/>
      <c r="C76" s="9" t="n"/>
      <c r="D76" s="9" t="n"/>
      <c r="E76" s="9" t="n"/>
      <c r="F76" s="22" t="n"/>
      <c r="G76" s="22" t="n"/>
      <c r="H76" s="23">
        <f>IF(AND(F76&lt;&gt;"",G76&lt;&gt;""),G76-F76,"")</f>
        <v/>
      </c>
      <c r="I76" s="10">
        <f>IF(H76&lt;&gt;"",H76*0.70,"")</f>
        <v/>
      </c>
    </row>
    <row r="77">
      <c r="A77" s="3" t="n">
        <v>75</v>
      </c>
      <c r="B77" s="4" t="n"/>
      <c r="C77" s="5" t="n"/>
      <c r="D77" s="5" t="n"/>
      <c r="E77" s="5" t="n"/>
      <c r="F77" s="20" t="n"/>
      <c r="G77" s="20" t="n"/>
      <c r="H77" s="21">
        <f>IF(AND(F77&lt;&gt;"",G77&lt;&gt;""),G77-F77,"")</f>
        <v/>
      </c>
      <c r="I77" s="6">
        <f>IF(H77&lt;&gt;"",H77*0.70,"")</f>
        <v/>
      </c>
    </row>
    <row r="78">
      <c r="A78" s="7" t="n">
        <v>76</v>
      </c>
      <c r="B78" s="8" t="n"/>
      <c r="C78" s="9" t="n"/>
      <c r="D78" s="9" t="n"/>
      <c r="E78" s="9" t="n"/>
      <c r="F78" s="22" t="n"/>
      <c r="G78" s="22" t="n"/>
      <c r="H78" s="23">
        <f>IF(AND(F78&lt;&gt;"",G78&lt;&gt;""),G78-F78,"")</f>
        <v/>
      </c>
      <c r="I78" s="10">
        <f>IF(H78&lt;&gt;"",H78*0.70,"")</f>
        <v/>
      </c>
    </row>
    <row r="79">
      <c r="A79" s="3" t="n">
        <v>77</v>
      </c>
      <c r="B79" s="4" t="n"/>
      <c r="C79" s="5" t="n"/>
      <c r="D79" s="5" t="n"/>
      <c r="E79" s="5" t="n"/>
      <c r="F79" s="20" t="n"/>
      <c r="G79" s="20" t="n"/>
      <c r="H79" s="21">
        <f>IF(AND(F79&lt;&gt;"",G79&lt;&gt;""),G79-F79,"")</f>
        <v/>
      </c>
      <c r="I79" s="6">
        <f>IF(H79&lt;&gt;"",H79*0.70,"")</f>
        <v/>
      </c>
    </row>
    <row r="80">
      <c r="A80" s="7" t="n">
        <v>78</v>
      </c>
      <c r="B80" s="8" t="n"/>
      <c r="C80" s="9" t="n"/>
      <c r="D80" s="9" t="n"/>
      <c r="E80" s="9" t="n"/>
      <c r="F80" s="22" t="n"/>
      <c r="G80" s="22" t="n"/>
      <c r="H80" s="23">
        <f>IF(AND(F80&lt;&gt;"",G80&lt;&gt;""),G80-F80,"")</f>
        <v/>
      </c>
      <c r="I80" s="10">
        <f>IF(H80&lt;&gt;"",H80*0.70,"")</f>
        <v/>
      </c>
    </row>
    <row r="81">
      <c r="A81" s="3" t="n">
        <v>79</v>
      </c>
      <c r="B81" s="4" t="n"/>
      <c r="C81" s="5" t="n"/>
      <c r="D81" s="5" t="n"/>
      <c r="E81" s="5" t="n"/>
      <c r="F81" s="20" t="n"/>
      <c r="G81" s="20" t="n"/>
      <c r="H81" s="21">
        <f>IF(AND(F81&lt;&gt;"",G81&lt;&gt;""),G81-F81,"")</f>
        <v/>
      </c>
      <c r="I81" s="6">
        <f>IF(H81&lt;&gt;"",H81*0.70,"")</f>
        <v/>
      </c>
    </row>
    <row r="82">
      <c r="A82" s="7" t="n">
        <v>80</v>
      </c>
      <c r="B82" s="8" t="n"/>
      <c r="C82" s="9" t="n"/>
      <c r="D82" s="9" t="n"/>
      <c r="E82" s="9" t="n"/>
      <c r="F82" s="22" t="n"/>
      <c r="G82" s="22" t="n"/>
      <c r="H82" s="23">
        <f>IF(AND(F82&lt;&gt;"",G82&lt;&gt;""),G82-F82,"")</f>
        <v/>
      </c>
      <c r="I82" s="10">
        <f>IF(H82&lt;&gt;"",H82*0.70,"")</f>
        <v/>
      </c>
    </row>
    <row r="83">
      <c r="A83" s="3" t="n">
        <v>81</v>
      </c>
      <c r="B83" s="4" t="n"/>
      <c r="C83" s="5" t="n"/>
      <c r="D83" s="5" t="n"/>
      <c r="E83" s="5" t="n"/>
      <c r="F83" s="20" t="n"/>
      <c r="G83" s="20" t="n"/>
      <c r="H83" s="21">
        <f>IF(AND(F83&lt;&gt;"",G83&lt;&gt;""),G83-F83,"")</f>
        <v/>
      </c>
      <c r="I83" s="6">
        <f>IF(H83&lt;&gt;"",H83*0.70,"")</f>
        <v/>
      </c>
    </row>
    <row r="84">
      <c r="A84" s="7" t="n">
        <v>82</v>
      </c>
      <c r="B84" s="8" t="n"/>
      <c r="C84" s="9" t="n"/>
      <c r="D84" s="9" t="n"/>
      <c r="E84" s="9" t="n"/>
      <c r="F84" s="22" t="n"/>
      <c r="G84" s="22" t="n"/>
      <c r="H84" s="23">
        <f>IF(AND(F84&lt;&gt;"",G84&lt;&gt;""),G84-F84,"")</f>
        <v/>
      </c>
      <c r="I84" s="10">
        <f>IF(H84&lt;&gt;"",H84*0.70,"")</f>
        <v/>
      </c>
    </row>
    <row r="85">
      <c r="A85" s="3" t="n">
        <v>83</v>
      </c>
      <c r="B85" s="4" t="n"/>
      <c r="C85" s="5" t="n"/>
      <c r="D85" s="5" t="n"/>
      <c r="E85" s="5" t="n"/>
      <c r="F85" s="20" t="n"/>
      <c r="G85" s="20" t="n"/>
      <c r="H85" s="21">
        <f>IF(AND(F85&lt;&gt;"",G85&lt;&gt;""),G85-F85,"")</f>
        <v/>
      </c>
      <c r="I85" s="6">
        <f>IF(H85&lt;&gt;"",H85*0.70,"")</f>
        <v/>
      </c>
    </row>
    <row r="86">
      <c r="A86" s="7" t="n">
        <v>84</v>
      </c>
      <c r="B86" s="8" t="n"/>
      <c r="C86" s="9" t="n"/>
      <c r="D86" s="9" t="n"/>
      <c r="E86" s="9" t="n"/>
      <c r="F86" s="22" t="n"/>
      <c r="G86" s="22" t="n"/>
      <c r="H86" s="23">
        <f>IF(AND(F86&lt;&gt;"",G86&lt;&gt;""),G86-F86,"")</f>
        <v/>
      </c>
      <c r="I86" s="10">
        <f>IF(H86&lt;&gt;"",H86*0.70,"")</f>
        <v/>
      </c>
    </row>
    <row r="87">
      <c r="A87" s="3" t="n">
        <v>85</v>
      </c>
      <c r="B87" s="4" t="n"/>
      <c r="C87" s="5" t="n"/>
      <c r="D87" s="5" t="n"/>
      <c r="E87" s="5" t="n"/>
      <c r="F87" s="20" t="n"/>
      <c r="G87" s="20" t="n"/>
      <c r="H87" s="21">
        <f>IF(AND(F87&lt;&gt;"",G87&lt;&gt;""),G87-F87,"")</f>
        <v/>
      </c>
      <c r="I87" s="6">
        <f>IF(H87&lt;&gt;"",H87*0.70,"")</f>
        <v/>
      </c>
    </row>
    <row r="88">
      <c r="A88" s="7" t="n">
        <v>86</v>
      </c>
      <c r="B88" s="8" t="n"/>
      <c r="C88" s="9" t="n"/>
      <c r="D88" s="9" t="n"/>
      <c r="E88" s="9" t="n"/>
      <c r="F88" s="22" t="n"/>
      <c r="G88" s="22" t="n"/>
      <c r="H88" s="23">
        <f>IF(AND(F88&lt;&gt;"",G88&lt;&gt;""),G88-F88,"")</f>
        <v/>
      </c>
      <c r="I88" s="10">
        <f>IF(H88&lt;&gt;"",H88*0.70,"")</f>
        <v/>
      </c>
    </row>
    <row r="89">
      <c r="A89" s="3" t="n">
        <v>87</v>
      </c>
      <c r="B89" s="4" t="n"/>
      <c r="C89" s="5" t="n"/>
      <c r="D89" s="5" t="n"/>
      <c r="E89" s="5" t="n"/>
      <c r="F89" s="20" t="n"/>
      <c r="G89" s="20" t="n"/>
      <c r="H89" s="21">
        <f>IF(AND(F89&lt;&gt;"",G89&lt;&gt;""),G89-F89,"")</f>
        <v/>
      </c>
      <c r="I89" s="6">
        <f>IF(H89&lt;&gt;"",H89*0.70,"")</f>
        <v/>
      </c>
    </row>
    <row r="90">
      <c r="A90" s="7" t="n">
        <v>88</v>
      </c>
      <c r="B90" s="8" t="n"/>
      <c r="C90" s="9" t="n"/>
      <c r="D90" s="9" t="n"/>
      <c r="E90" s="9" t="n"/>
      <c r="F90" s="22" t="n"/>
      <c r="G90" s="22" t="n"/>
      <c r="H90" s="23">
        <f>IF(AND(F90&lt;&gt;"",G90&lt;&gt;""),G90-F90,"")</f>
        <v/>
      </c>
      <c r="I90" s="10">
        <f>IF(H90&lt;&gt;"",H90*0.70,"")</f>
        <v/>
      </c>
    </row>
    <row r="91">
      <c r="A91" s="3" t="n">
        <v>89</v>
      </c>
      <c r="B91" s="4" t="n"/>
      <c r="C91" s="5" t="n"/>
      <c r="D91" s="5" t="n"/>
      <c r="E91" s="5" t="n"/>
      <c r="F91" s="20" t="n"/>
      <c r="G91" s="20" t="n"/>
      <c r="H91" s="21">
        <f>IF(AND(F91&lt;&gt;"",G91&lt;&gt;""),G91-F91,"")</f>
        <v/>
      </c>
      <c r="I91" s="6">
        <f>IF(H91&lt;&gt;"",H91*0.70,"")</f>
        <v/>
      </c>
    </row>
    <row r="92">
      <c r="A92" s="7" t="n">
        <v>90</v>
      </c>
      <c r="B92" s="8" t="n"/>
      <c r="C92" s="9" t="n"/>
      <c r="D92" s="9" t="n"/>
      <c r="E92" s="9" t="n"/>
      <c r="F92" s="22" t="n"/>
      <c r="G92" s="22" t="n"/>
      <c r="H92" s="23">
        <f>IF(AND(F92&lt;&gt;"",G92&lt;&gt;""),G92-F92,"")</f>
        <v/>
      </c>
      <c r="I92" s="10">
        <f>IF(H92&lt;&gt;"",H92*0.70,"")</f>
        <v/>
      </c>
    </row>
    <row r="93">
      <c r="A93" s="3" t="n">
        <v>91</v>
      </c>
      <c r="B93" s="4" t="n"/>
      <c r="C93" s="5" t="n"/>
      <c r="D93" s="5" t="n"/>
      <c r="E93" s="5" t="n"/>
      <c r="F93" s="20" t="n"/>
      <c r="G93" s="20" t="n"/>
      <c r="H93" s="21">
        <f>IF(AND(F93&lt;&gt;"",G93&lt;&gt;""),G93-F93,"")</f>
        <v/>
      </c>
      <c r="I93" s="6">
        <f>IF(H93&lt;&gt;"",H93*0.70,"")</f>
        <v/>
      </c>
    </row>
    <row r="94">
      <c r="A94" s="7" t="n">
        <v>92</v>
      </c>
      <c r="B94" s="8" t="n"/>
      <c r="C94" s="9" t="n"/>
      <c r="D94" s="9" t="n"/>
      <c r="E94" s="9" t="n"/>
      <c r="F94" s="22" t="n"/>
      <c r="G94" s="22" t="n"/>
      <c r="H94" s="23">
        <f>IF(AND(F94&lt;&gt;"",G94&lt;&gt;""),G94-F94,"")</f>
        <v/>
      </c>
      <c r="I94" s="10">
        <f>IF(H94&lt;&gt;"",H94*0.70,"")</f>
        <v/>
      </c>
    </row>
    <row r="95">
      <c r="A95" s="3" t="n">
        <v>93</v>
      </c>
      <c r="B95" s="4" t="n"/>
      <c r="C95" s="5" t="n"/>
      <c r="D95" s="5" t="n"/>
      <c r="E95" s="5" t="n"/>
      <c r="F95" s="20" t="n"/>
      <c r="G95" s="20" t="n"/>
      <c r="H95" s="21">
        <f>IF(AND(F95&lt;&gt;"",G95&lt;&gt;""),G95-F95,"")</f>
        <v/>
      </c>
      <c r="I95" s="6">
        <f>IF(H95&lt;&gt;"",H95*0.70,"")</f>
        <v/>
      </c>
    </row>
    <row r="96">
      <c r="A96" s="7" t="n">
        <v>94</v>
      </c>
      <c r="B96" s="8" t="n"/>
      <c r="C96" s="9" t="n"/>
      <c r="D96" s="9" t="n"/>
      <c r="E96" s="9" t="n"/>
      <c r="F96" s="22" t="n"/>
      <c r="G96" s="22" t="n"/>
      <c r="H96" s="23">
        <f>IF(AND(F96&lt;&gt;"",G96&lt;&gt;""),G96-F96,"")</f>
        <v/>
      </c>
      <c r="I96" s="10">
        <f>IF(H96&lt;&gt;"",H96*0.70,"")</f>
        <v/>
      </c>
    </row>
    <row r="97">
      <c r="A97" s="3" t="n">
        <v>95</v>
      </c>
      <c r="B97" s="4" t="n"/>
      <c r="C97" s="5" t="n"/>
      <c r="D97" s="5" t="n"/>
      <c r="E97" s="5" t="n"/>
      <c r="F97" s="20" t="n"/>
      <c r="G97" s="20" t="n"/>
      <c r="H97" s="21">
        <f>IF(AND(F97&lt;&gt;"",G97&lt;&gt;""),G97-F97,"")</f>
        <v/>
      </c>
      <c r="I97" s="6">
        <f>IF(H97&lt;&gt;"",H97*0.70,"")</f>
        <v/>
      </c>
    </row>
    <row r="98">
      <c r="A98" s="7" t="n">
        <v>96</v>
      </c>
      <c r="B98" s="8" t="n"/>
      <c r="C98" s="9" t="n"/>
      <c r="D98" s="9" t="n"/>
      <c r="E98" s="9" t="n"/>
      <c r="F98" s="22" t="n"/>
      <c r="G98" s="22" t="n"/>
      <c r="H98" s="23">
        <f>IF(AND(F98&lt;&gt;"",G98&lt;&gt;""),G98-F98,"")</f>
        <v/>
      </c>
      <c r="I98" s="10">
        <f>IF(H98&lt;&gt;"",H98*0.70,"")</f>
        <v/>
      </c>
    </row>
    <row r="99">
      <c r="A99" s="3" t="n">
        <v>97</v>
      </c>
      <c r="B99" s="4" t="n"/>
      <c r="C99" s="5" t="n"/>
      <c r="D99" s="5" t="n"/>
      <c r="E99" s="5" t="n"/>
      <c r="F99" s="20" t="n"/>
      <c r="G99" s="20" t="n"/>
      <c r="H99" s="21">
        <f>IF(AND(F99&lt;&gt;"",G99&lt;&gt;""),G99-F99,"")</f>
        <v/>
      </c>
      <c r="I99" s="6">
        <f>IF(H99&lt;&gt;"",H99*0.70,"")</f>
        <v/>
      </c>
    </row>
    <row r="100">
      <c r="A100" s="7" t="n">
        <v>98</v>
      </c>
      <c r="B100" s="8" t="n"/>
      <c r="C100" s="9" t="n"/>
      <c r="D100" s="9" t="n"/>
      <c r="E100" s="9" t="n"/>
      <c r="F100" s="22" t="n"/>
      <c r="G100" s="22" t="n"/>
      <c r="H100" s="23">
        <f>IF(AND(F100&lt;&gt;"",G100&lt;&gt;""),G100-F100,"")</f>
        <v/>
      </c>
      <c r="I100" s="10">
        <f>IF(H100&lt;&gt;"",H100*0.70,"")</f>
        <v/>
      </c>
    </row>
    <row r="101">
      <c r="A101" s="3" t="n">
        <v>99</v>
      </c>
      <c r="B101" s="4" t="n"/>
      <c r="C101" s="5" t="n"/>
      <c r="D101" s="5" t="n"/>
      <c r="E101" s="5" t="n"/>
      <c r="F101" s="20" t="n"/>
      <c r="G101" s="20" t="n"/>
      <c r="H101" s="21">
        <f>IF(AND(F101&lt;&gt;"",G101&lt;&gt;""),G101-F101,"")</f>
        <v/>
      </c>
      <c r="I101" s="6">
        <f>IF(H101&lt;&gt;"",H101*0.70,"")</f>
        <v/>
      </c>
    </row>
    <row r="102">
      <c r="A102" s="7" t="n">
        <v>100</v>
      </c>
      <c r="B102" s="8" t="n"/>
      <c r="C102" s="9" t="n"/>
      <c r="D102" s="9" t="n"/>
      <c r="E102" s="9" t="n"/>
      <c r="F102" s="22" t="n"/>
      <c r="G102" s="22" t="n"/>
      <c r="H102" s="23">
        <f>IF(AND(F102&lt;&gt;"",G102&lt;&gt;""),G102-F102,"")</f>
        <v/>
      </c>
      <c r="I102" s="10">
        <f>IF(H102&lt;&gt;"",H102*0.70,"")</f>
        <v/>
      </c>
    </row>
    <row r="103">
      <c r="A103" s="3" t="n">
        <v>101</v>
      </c>
      <c r="B103" s="4" t="n"/>
      <c r="C103" s="5" t="n"/>
      <c r="D103" s="5" t="n"/>
      <c r="E103" s="5" t="n"/>
      <c r="F103" s="20" t="n"/>
      <c r="G103" s="20" t="n"/>
      <c r="H103" s="21">
        <f>IF(AND(F103&lt;&gt;"",G103&lt;&gt;""),G103-F103,"")</f>
        <v/>
      </c>
      <c r="I103" s="6">
        <f>IF(H103&lt;&gt;"",H103*0.70,"")</f>
        <v/>
      </c>
    </row>
    <row r="104">
      <c r="A104" s="7" t="n">
        <v>102</v>
      </c>
      <c r="B104" s="8" t="n"/>
      <c r="C104" s="9" t="n"/>
      <c r="D104" s="9" t="n"/>
      <c r="E104" s="9" t="n"/>
      <c r="F104" s="22" t="n"/>
      <c r="G104" s="22" t="n"/>
      <c r="H104" s="23">
        <f>IF(AND(F104&lt;&gt;"",G104&lt;&gt;""),G104-F104,"")</f>
        <v/>
      </c>
      <c r="I104" s="10">
        <f>IF(H104&lt;&gt;"",H104*0.70,"")</f>
        <v/>
      </c>
    </row>
    <row r="105">
      <c r="A105" s="3" t="n">
        <v>103</v>
      </c>
      <c r="B105" s="4" t="n"/>
      <c r="C105" s="5" t="n"/>
      <c r="D105" s="5" t="n"/>
      <c r="E105" s="5" t="n"/>
      <c r="F105" s="20" t="n"/>
      <c r="G105" s="20" t="n"/>
      <c r="H105" s="21">
        <f>IF(AND(F105&lt;&gt;"",G105&lt;&gt;""),G105-F105,"")</f>
        <v/>
      </c>
      <c r="I105" s="6">
        <f>IF(H105&lt;&gt;"",H105*0.70,"")</f>
        <v/>
      </c>
    </row>
    <row r="106">
      <c r="A106" s="7" t="n">
        <v>104</v>
      </c>
      <c r="B106" s="8" t="n"/>
      <c r="C106" s="9" t="n"/>
      <c r="D106" s="9" t="n"/>
      <c r="E106" s="9" t="n"/>
      <c r="F106" s="22" t="n"/>
      <c r="G106" s="22" t="n"/>
      <c r="H106" s="23">
        <f>IF(AND(F106&lt;&gt;"",G106&lt;&gt;""),G106-F106,"")</f>
        <v/>
      </c>
      <c r="I106" s="10">
        <f>IF(H106&lt;&gt;"",H106*0.70,"")</f>
        <v/>
      </c>
    </row>
    <row r="107">
      <c r="A107" s="3" t="n">
        <v>105</v>
      </c>
      <c r="B107" s="4" t="n"/>
      <c r="C107" s="5" t="n"/>
      <c r="D107" s="5" t="n"/>
      <c r="E107" s="5" t="n"/>
      <c r="F107" s="20" t="n"/>
      <c r="G107" s="20" t="n"/>
      <c r="H107" s="21">
        <f>IF(AND(F107&lt;&gt;"",G107&lt;&gt;""),G107-F107,"")</f>
        <v/>
      </c>
      <c r="I107" s="6">
        <f>IF(H107&lt;&gt;"",H107*0.70,"")</f>
        <v/>
      </c>
    </row>
    <row r="108">
      <c r="A108" s="7" t="n">
        <v>106</v>
      </c>
      <c r="B108" s="8" t="n"/>
      <c r="C108" s="9" t="n"/>
      <c r="D108" s="9" t="n"/>
      <c r="E108" s="9" t="n"/>
      <c r="F108" s="22" t="n"/>
      <c r="G108" s="22" t="n"/>
      <c r="H108" s="23">
        <f>IF(AND(F108&lt;&gt;"",G108&lt;&gt;""),G108-F108,"")</f>
        <v/>
      </c>
      <c r="I108" s="10">
        <f>IF(H108&lt;&gt;"",H108*0.70,"")</f>
        <v/>
      </c>
    </row>
    <row r="109">
      <c r="A109" s="3" t="n">
        <v>107</v>
      </c>
      <c r="B109" s="4" t="n"/>
      <c r="C109" s="5" t="n"/>
      <c r="D109" s="5" t="n"/>
      <c r="E109" s="5" t="n"/>
      <c r="F109" s="20" t="n"/>
      <c r="G109" s="20" t="n"/>
      <c r="H109" s="21">
        <f>IF(AND(F109&lt;&gt;"",G109&lt;&gt;""),G109-F109,"")</f>
        <v/>
      </c>
      <c r="I109" s="6">
        <f>IF(H109&lt;&gt;"",H109*0.70,"")</f>
        <v/>
      </c>
    </row>
    <row r="110">
      <c r="A110" s="7" t="n">
        <v>108</v>
      </c>
      <c r="B110" s="8" t="n"/>
      <c r="C110" s="9" t="n"/>
      <c r="D110" s="9" t="n"/>
      <c r="E110" s="9" t="n"/>
      <c r="F110" s="22" t="n"/>
      <c r="G110" s="22" t="n"/>
      <c r="H110" s="23">
        <f>IF(AND(F110&lt;&gt;"",G110&lt;&gt;""),G110-F110,"")</f>
        <v/>
      </c>
      <c r="I110" s="10">
        <f>IF(H110&lt;&gt;"",H110*0.70,"")</f>
        <v/>
      </c>
    </row>
    <row r="111">
      <c r="A111" s="3" t="n">
        <v>109</v>
      </c>
      <c r="B111" s="4" t="n"/>
      <c r="C111" s="5" t="n"/>
      <c r="D111" s="5" t="n"/>
      <c r="E111" s="5" t="n"/>
      <c r="F111" s="20" t="n"/>
      <c r="G111" s="20" t="n"/>
      <c r="H111" s="21">
        <f>IF(AND(F111&lt;&gt;"",G111&lt;&gt;""),G111-F111,"")</f>
        <v/>
      </c>
      <c r="I111" s="6">
        <f>IF(H111&lt;&gt;"",H111*0.70,"")</f>
        <v/>
      </c>
    </row>
    <row r="112">
      <c r="A112" s="7" t="n">
        <v>110</v>
      </c>
      <c r="B112" s="8" t="n"/>
      <c r="C112" s="9" t="n"/>
      <c r="D112" s="9" t="n"/>
      <c r="E112" s="9" t="n"/>
      <c r="F112" s="22" t="n"/>
      <c r="G112" s="22" t="n"/>
      <c r="H112" s="23">
        <f>IF(AND(F112&lt;&gt;"",G112&lt;&gt;""),G112-F112,"")</f>
        <v/>
      </c>
      <c r="I112" s="10">
        <f>IF(H112&lt;&gt;"",H112*0.70,"")</f>
        <v/>
      </c>
    </row>
    <row r="113">
      <c r="A113" s="3" t="n">
        <v>111</v>
      </c>
      <c r="B113" s="4" t="n"/>
      <c r="C113" s="5" t="n"/>
      <c r="D113" s="5" t="n"/>
      <c r="E113" s="5" t="n"/>
      <c r="F113" s="20" t="n"/>
      <c r="G113" s="20" t="n"/>
      <c r="H113" s="21">
        <f>IF(AND(F113&lt;&gt;"",G113&lt;&gt;""),G113-F113,"")</f>
        <v/>
      </c>
      <c r="I113" s="6">
        <f>IF(H113&lt;&gt;"",H113*0.70,"")</f>
        <v/>
      </c>
    </row>
    <row r="114">
      <c r="A114" s="7" t="n">
        <v>112</v>
      </c>
      <c r="B114" s="8" t="n"/>
      <c r="C114" s="9" t="n"/>
      <c r="D114" s="9" t="n"/>
      <c r="E114" s="9" t="n"/>
      <c r="F114" s="22" t="n"/>
      <c r="G114" s="22" t="n"/>
      <c r="H114" s="23">
        <f>IF(AND(F114&lt;&gt;"",G114&lt;&gt;""),G114-F114,"")</f>
        <v/>
      </c>
      <c r="I114" s="10">
        <f>IF(H114&lt;&gt;"",H114*0.70,"")</f>
        <v/>
      </c>
    </row>
    <row r="115">
      <c r="A115" s="3" t="n">
        <v>113</v>
      </c>
      <c r="B115" s="4" t="n"/>
      <c r="C115" s="5" t="n"/>
      <c r="D115" s="5" t="n"/>
      <c r="E115" s="5" t="n"/>
      <c r="F115" s="20" t="n"/>
      <c r="G115" s="20" t="n"/>
      <c r="H115" s="21">
        <f>IF(AND(F115&lt;&gt;"",G115&lt;&gt;""),G115-F115,"")</f>
        <v/>
      </c>
      <c r="I115" s="6">
        <f>IF(H115&lt;&gt;"",H115*0.70,"")</f>
        <v/>
      </c>
    </row>
    <row r="116">
      <c r="A116" s="7" t="n">
        <v>114</v>
      </c>
      <c r="B116" s="8" t="n"/>
      <c r="C116" s="9" t="n"/>
      <c r="D116" s="9" t="n"/>
      <c r="E116" s="9" t="n"/>
      <c r="F116" s="22" t="n"/>
      <c r="G116" s="22" t="n"/>
      <c r="H116" s="23">
        <f>IF(AND(F116&lt;&gt;"",G116&lt;&gt;""),G116-F116,"")</f>
        <v/>
      </c>
      <c r="I116" s="10">
        <f>IF(H116&lt;&gt;"",H116*0.70,"")</f>
        <v/>
      </c>
    </row>
    <row r="117">
      <c r="A117" s="3" t="n">
        <v>115</v>
      </c>
      <c r="B117" s="4" t="n"/>
      <c r="C117" s="5" t="n"/>
      <c r="D117" s="5" t="n"/>
      <c r="E117" s="5" t="n"/>
      <c r="F117" s="20" t="n"/>
      <c r="G117" s="20" t="n"/>
      <c r="H117" s="21">
        <f>IF(AND(F117&lt;&gt;"",G117&lt;&gt;""),G117-F117,"")</f>
        <v/>
      </c>
      <c r="I117" s="6">
        <f>IF(H117&lt;&gt;"",H117*0.70,"")</f>
        <v/>
      </c>
    </row>
    <row r="118">
      <c r="A118" s="7" t="n">
        <v>116</v>
      </c>
      <c r="B118" s="8" t="n"/>
      <c r="C118" s="9" t="n"/>
      <c r="D118" s="9" t="n"/>
      <c r="E118" s="9" t="n"/>
      <c r="F118" s="22" t="n"/>
      <c r="G118" s="22" t="n"/>
      <c r="H118" s="23">
        <f>IF(AND(F118&lt;&gt;"",G118&lt;&gt;""),G118-F118,"")</f>
        <v/>
      </c>
      <c r="I118" s="10">
        <f>IF(H118&lt;&gt;"",H118*0.70,"")</f>
        <v/>
      </c>
    </row>
    <row r="119">
      <c r="A119" s="3" t="n">
        <v>117</v>
      </c>
      <c r="B119" s="4" t="n"/>
      <c r="C119" s="5" t="n"/>
      <c r="D119" s="5" t="n"/>
      <c r="E119" s="5" t="n"/>
      <c r="F119" s="20" t="n"/>
      <c r="G119" s="20" t="n"/>
      <c r="H119" s="21">
        <f>IF(AND(F119&lt;&gt;"",G119&lt;&gt;""),G119-F119,"")</f>
        <v/>
      </c>
      <c r="I119" s="6">
        <f>IF(H119&lt;&gt;"",H119*0.70,"")</f>
        <v/>
      </c>
    </row>
    <row r="120">
      <c r="A120" s="7" t="n">
        <v>118</v>
      </c>
      <c r="B120" s="8" t="n"/>
      <c r="C120" s="9" t="n"/>
      <c r="D120" s="9" t="n"/>
      <c r="E120" s="9" t="n"/>
      <c r="F120" s="22" t="n"/>
      <c r="G120" s="22" t="n"/>
      <c r="H120" s="23">
        <f>IF(AND(F120&lt;&gt;"",G120&lt;&gt;""),G120-F120,"")</f>
        <v/>
      </c>
      <c r="I120" s="10">
        <f>IF(H120&lt;&gt;"",H120*0.70,"")</f>
        <v/>
      </c>
    </row>
    <row r="121">
      <c r="A121" s="3" t="n">
        <v>119</v>
      </c>
      <c r="B121" s="4" t="n"/>
      <c r="C121" s="5" t="n"/>
      <c r="D121" s="5" t="n"/>
      <c r="E121" s="5" t="n"/>
      <c r="F121" s="20" t="n"/>
      <c r="G121" s="20" t="n"/>
      <c r="H121" s="21">
        <f>IF(AND(F121&lt;&gt;"",G121&lt;&gt;""),G121-F121,"")</f>
        <v/>
      </c>
      <c r="I121" s="6">
        <f>IF(H121&lt;&gt;"",H121*0.70,"")</f>
        <v/>
      </c>
    </row>
    <row r="122">
      <c r="A122" s="7" t="n">
        <v>120</v>
      </c>
      <c r="B122" s="8" t="n"/>
      <c r="C122" s="9" t="n"/>
      <c r="D122" s="9" t="n"/>
      <c r="E122" s="9" t="n"/>
      <c r="F122" s="22" t="n"/>
      <c r="G122" s="22" t="n"/>
      <c r="H122" s="23">
        <f>IF(AND(F122&lt;&gt;"",G122&lt;&gt;""),G122-F122,"")</f>
        <v/>
      </c>
      <c r="I122" s="10">
        <f>IF(H122&lt;&gt;"",H122*0.70,"")</f>
        <v/>
      </c>
    </row>
    <row r="123">
      <c r="A123" s="3" t="n">
        <v>121</v>
      </c>
      <c r="B123" s="4" t="n"/>
      <c r="C123" s="5" t="n"/>
      <c r="D123" s="5" t="n"/>
      <c r="E123" s="5" t="n"/>
      <c r="F123" s="20" t="n"/>
      <c r="G123" s="20" t="n"/>
      <c r="H123" s="21">
        <f>IF(AND(F123&lt;&gt;"",G123&lt;&gt;""),G123-F123,"")</f>
        <v/>
      </c>
      <c r="I123" s="6">
        <f>IF(H123&lt;&gt;"",H123*0.70,"")</f>
        <v/>
      </c>
    </row>
    <row r="124">
      <c r="A124" s="7" t="n">
        <v>122</v>
      </c>
      <c r="B124" s="8" t="n"/>
      <c r="C124" s="9" t="n"/>
      <c r="D124" s="9" t="n"/>
      <c r="E124" s="9" t="n"/>
      <c r="F124" s="22" t="n"/>
      <c r="G124" s="22" t="n"/>
      <c r="H124" s="23">
        <f>IF(AND(F124&lt;&gt;"",G124&lt;&gt;""),G124-F124,"")</f>
        <v/>
      </c>
      <c r="I124" s="10">
        <f>IF(H124&lt;&gt;"",H124*0.70,"")</f>
        <v/>
      </c>
    </row>
    <row r="125">
      <c r="A125" s="3" t="n">
        <v>123</v>
      </c>
      <c r="B125" s="4" t="n"/>
      <c r="C125" s="5" t="n"/>
      <c r="D125" s="5" t="n"/>
      <c r="E125" s="5" t="n"/>
      <c r="F125" s="20" t="n"/>
      <c r="G125" s="20" t="n"/>
      <c r="H125" s="21">
        <f>IF(AND(F125&lt;&gt;"",G125&lt;&gt;""),G125-F125,"")</f>
        <v/>
      </c>
      <c r="I125" s="6">
        <f>IF(H125&lt;&gt;"",H125*0.70,"")</f>
        <v/>
      </c>
    </row>
    <row r="126">
      <c r="A126" s="7" t="n">
        <v>124</v>
      </c>
      <c r="B126" s="8" t="n"/>
      <c r="C126" s="9" t="n"/>
      <c r="D126" s="9" t="n"/>
      <c r="E126" s="9" t="n"/>
      <c r="F126" s="22" t="n"/>
      <c r="G126" s="22" t="n"/>
      <c r="H126" s="23">
        <f>IF(AND(F126&lt;&gt;"",G126&lt;&gt;""),G126-F126,"")</f>
        <v/>
      </c>
      <c r="I126" s="10">
        <f>IF(H126&lt;&gt;"",H126*0.70,"")</f>
        <v/>
      </c>
    </row>
    <row r="127">
      <c r="A127" s="3" t="n">
        <v>125</v>
      </c>
      <c r="B127" s="4" t="n"/>
      <c r="C127" s="5" t="n"/>
      <c r="D127" s="5" t="n"/>
      <c r="E127" s="5" t="n"/>
      <c r="F127" s="20" t="n"/>
      <c r="G127" s="20" t="n"/>
      <c r="H127" s="21">
        <f>IF(AND(F127&lt;&gt;"",G127&lt;&gt;""),G127-F127,"")</f>
        <v/>
      </c>
      <c r="I127" s="6">
        <f>IF(H127&lt;&gt;"",H127*0.70,"")</f>
        <v/>
      </c>
    </row>
    <row r="128">
      <c r="A128" s="7" t="n">
        <v>126</v>
      </c>
      <c r="B128" s="8" t="n"/>
      <c r="C128" s="9" t="n"/>
      <c r="D128" s="9" t="n"/>
      <c r="E128" s="9" t="n"/>
      <c r="F128" s="22" t="n"/>
      <c r="G128" s="22" t="n"/>
      <c r="H128" s="23">
        <f>IF(AND(F128&lt;&gt;"",G128&lt;&gt;""),G128-F128,"")</f>
        <v/>
      </c>
      <c r="I128" s="10">
        <f>IF(H128&lt;&gt;"",H128*0.70,"")</f>
        <v/>
      </c>
    </row>
    <row r="129">
      <c r="A129" s="3" t="n">
        <v>127</v>
      </c>
      <c r="B129" s="4" t="n"/>
      <c r="C129" s="5" t="n"/>
      <c r="D129" s="5" t="n"/>
      <c r="E129" s="5" t="n"/>
      <c r="F129" s="20" t="n"/>
      <c r="G129" s="20" t="n"/>
      <c r="H129" s="21">
        <f>IF(AND(F129&lt;&gt;"",G129&lt;&gt;""),G129-F129,"")</f>
        <v/>
      </c>
      <c r="I129" s="6">
        <f>IF(H129&lt;&gt;"",H129*0.70,"")</f>
        <v/>
      </c>
    </row>
    <row r="130">
      <c r="A130" s="7" t="n">
        <v>128</v>
      </c>
      <c r="B130" s="8" t="n"/>
      <c r="C130" s="9" t="n"/>
      <c r="D130" s="9" t="n"/>
      <c r="E130" s="9" t="n"/>
      <c r="F130" s="22" t="n"/>
      <c r="G130" s="22" t="n"/>
      <c r="H130" s="23">
        <f>IF(AND(F130&lt;&gt;"",G130&lt;&gt;""),G130-F130,"")</f>
        <v/>
      </c>
      <c r="I130" s="10">
        <f>IF(H130&lt;&gt;"",H130*0.70,"")</f>
        <v/>
      </c>
    </row>
    <row r="131">
      <c r="A131" s="3" t="n">
        <v>129</v>
      </c>
      <c r="B131" s="4" t="n"/>
      <c r="C131" s="5" t="n"/>
      <c r="D131" s="5" t="n"/>
      <c r="E131" s="5" t="n"/>
      <c r="F131" s="20" t="n"/>
      <c r="G131" s="20" t="n"/>
      <c r="H131" s="21">
        <f>IF(AND(F131&lt;&gt;"",G131&lt;&gt;""),G131-F131,"")</f>
        <v/>
      </c>
      <c r="I131" s="6">
        <f>IF(H131&lt;&gt;"",H131*0.70,"")</f>
        <v/>
      </c>
    </row>
    <row r="132">
      <c r="A132" s="7" t="n">
        <v>130</v>
      </c>
      <c r="B132" s="8" t="n"/>
      <c r="C132" s="9" t="n"/>
      <c r="D132" s="9" t="n"/>
      <c r="E132" s="9" t="n"/>
      <c r="F132" s="22" t="n"/>
      <c r="G132" s="22" t="n"/>
      <c r="H132" s="23">
        <f>IF(AND(F132&lt;&gt;"",G132&lt;&gt;""),G132-F132,"")</f>
        <v/>
      </c>
      <c r="I132" s="10">
        <f>IF(H132&lt;&gt;"",H132*0.70,"")</f>
        <v/>
      </c>
    </row>
    <row r="133">
      <c r="A133" s="3" t="n">
        <v>131</v>
      </c>
      <c r="B133" s="4" t="n"/>
      <c r="C133" s="5" t="n"/>
      <c r="D133" s="5" t="n"/>
      <c r="E133" s="5" t="n"/>
      <c r="F133" s="20" t="n"/>
      <c r="G133" s="20" t="n"/>
      <c r="H133" s="21">
        <f>IF(AND(F133&lt;&gt;"",G133&lt;&gt;""),G133-F133,"")</f>
        <v/>
      </c>
      <c r="I133" s="6">
        <f>IF(H133&lt;&gt;"",H133*0.70,"")</f>
        <v/>
      </c>
    </row>
    <row r="134">
      <c r="A134" s="7" t="n">
        <v>132</v>
      </c>
      <c r="B134" s="8" t="n"/>
      <c r="C134" s="9" t="n"/>
      <c r="D134" s="9" t="n"/>
      <c r="E134" s="9" t="n"/>
      <c r="F134" s="22" t="n"/>
      <c r="G134" s="22" t="n"/>
      <c r="H134" s="23">
        <f>IF(AND(F134&lt;&gt;"",G134&lt;&gt;""),G134-F134,"")</f>
        <v/>
      </c>
      <c r="I134" s="10">
        <f>IF(H134&lt;&gt;"",H134*0.70,"")</f>
        <v/>
      </c>
    </row>
    <row r="135">
      <c r="A135" s="3" t="n">
        <v>133</v>
      </c>
      <c r="B135" s="4" t="n"/>
      <c r="C135" s="5" t="n"/>
      <c r="D135" s="5" t="n"/>
      <c r="E135" s="5" t="n"/>
      <c r="F135" s="20" t="n"/>
      <c r="G135" s="20" t="n"/>
      <c r="H135" s="21">
        <f>IF(AND(F135&lt;&gt;"",G135&lt;&gt;""),G135-F135,"")</f>
        <v/>
      </c>
      <c r="I135" s="6">
        <f>IF(H135&lt;&gt;"",H135*0.70,"")</f>
        <v/>
      </c>
    </row>
    <row r="136">
      <c r="A136" s="7" t="n">
        <v>134</v>
      </c>
      <c r="B136" s="8" t="n"/>
      <c r="C136" s="9" t="n"/>
      <c r="D136" s="9" t="n"/>
      <c r="E136" s="9" t="n"/>
      <c r="F136" s="22" t="n"/>
      <c r="G136" s="22" t="n"/>
      <c r="H136" s="23">
        <f>IF(AND(F136&lt;&gt;"",G136&lt;&gt;""),G136-F136,"")</f>
        <v/>
      </c>
      <c r="I136" s="10">
        <f>IF(H136&lt;&gt;"",H136*0.70,"")</f>
        <v/>
      </c>
    </row>
    <row r="137">
      <c r="A137" s="3" t="n">
        <v>135</v>
      </c>
      <c r="B137" s="4" t="n"/>
      <c r="C137" s="5" t="n"/>
      <c r="D137" s="5" t="n"/>
      <c r="E137" s="5" t="n"/>
      <c r="F137" s="20" t="n"/>
      <c r="G137" s="20" t="n"/>
      <c r="H137" s="21">
        <f>IF(AND(F137&lt;&gt;"",G137&lt;&gt;""),G137-F137,"")</f>
        <v/>
      </c>
      <c r="I137" s="6">
        <f>IF(H137&lt;&gt;"",H137*0.70,"")</f>
        <v/>
      </c>
    </row>
    <row r="138">
      <c r="A138" s="7" t="n">
        <v>136</v>
      </c>
      <c r="B138" s="8" t="n"/>
      <c r="C138" s="9" t="n"/>
      <c r="D138" s="9" t="n"/>
      <c r="E138" s="9" t="n"/>
      <c r="F138" s="22" t="n"/>
      <c r="G138" s="22" t="n"/>
      <c r="H138" s="23">
        <f>IF(AND(F138&lt;&gt;"",G138&lt;&gt;""),G138-F138,"")</f>
        <v/>
      </c>
      <c r="I138" s="10">
        <f>IF(H138&lt;&gt;"",H138*0.70,"")</f>
        <v/>
      </c>
    </row>
    <row r="139">
      <c r="A139" s="3" t="n">
        <v>137</v>
      </c>
      <c r="B139" s="4" t="n"/>
      <c r="C139" s="5" t="n"/>
      <c r="D139" s="5" t="n"/>
      <c r="E139" s="5" t="n"/>
      <c r="F139" s="20" t="n"/>
      <c r="G139" s="20" t="n"/>
      <c r="H139" s="21">
        <f>IF(AND(F139&lt;&gt;"",G139&lt;&gt;""),G139-F139,"")</f>
        <v/>
      </c>
      <c r="I139" s="6">
        <f>IF(H139&lt;&gt;"",H139*0.70,"")</f>
        <v/>
      </c>
    </row>
    <row r="140">
      <c r="A140" s="7" t="n">
        <v>138</v>
      </c>
      <c r="B140" s="8" t="n"/>
      <c r="C140" s="9" t="n"/>
      <c r="D140" s="9" t="n"/>
      <c r="E140" s="9" t="n"/>
      <c r="F140" s="22" t="n"/>
      <c r="G140" s="22" t="n"/>
      <c r="H140" s="23">
        <f>IF(AND(F140&lt;&gt;"",G140&lt;&gt;""),G140-F140,"")</f>
        <v/>
      </c>
      <c r="I140" s="10">
        <f>IF(H140&lt;&gt;"",H140*0.70,"")</f>
        <v/>
      </c>
    </row>
    <row r="141">
      <c r="A141" s="3" t="n">
        <v>139</v>
      </c>
      <c r="B141" s="4" t="n"/>
      <c r="C141" s="5" t="n"/>
      <c r="D141" s="5" t="n"/>
      <c r="E141" s="5" t="n"/>
      <c r="F141" s="20" t="n"/>
      <c r="G141" s="20" t="n"/>
      <c r="H141" s="21">
        <f>IF(AND(F141&lt;&gt;"",G141&lt;&gt;""),G141-F141,"")</f>
        <v/>
      </c>
      <c r="I141" s="6">
        <f>IF(H141&lt;&gt;"",H141*0.70,"")</f>
        <v/>
      </c>
    </row>
    <row r="142">
      <c r="A142" s="7" t="n">
        <v>140</v>
      </c>
      <c r="B142" s="8" t="n"/>
      <c r="C142" s="9" t="n"/>
      <c r="D142" s="9" t="n"/>
      <c r="E142" s="9" t="n"/>
      <c r="F142" s="22" t="n"/>
      <c r="G142" s="22" t="n"/>
      <c r="H142" s="23">
        <f>IF(AND(F142&lt;&gt;"",G142&lt;&gt;""),G142-F142,"")</f>
        <v/>
      </c>
      <c r="I142" s="10">
        <f>IF(H142&lt;&gt;"",H142*0.70,"")</f>
        <v/>
      </c>
    </row>
    <row r="143">
      <c r="A143" s="3" t="n">
        <v>141</v>
      </c>
      <c r="B143" s="4" t="n"/>
      <c r="C143" s="5" t="n"/>
      <c r="D143" s="5" t="n"/>
      <c r="E143" s="5" t="n"/>
      <c r="F143" s="20" t="n"/>
      <c r="G143" s="20" t="n"/>
      <c r="H143" s="21">
        <f>IF(AND(F143&lt;&gt;"",G143&lt;&gt;""),G143-F143,"")</f>
        <v/>
      </c>
      <c r="I143" s="6">
        <f>IF(H143&lt;&gt;"",H143*0.70,"")</f>
        <v/>
      </c>
    </row>
    <row r="144">
      <c r="A144" s="7" t="n">
        <v>142</v>
      </c>
      <c r="B144" s="8" t="n"/>
      <c r="C144" s="9" t="n"/>
      <c r="D144" s="9" t="n"/>
      <c r="E144" s="9" t="n"/>
      <c r="F144" s="22" t="n"/>
      <c r="G144" s="22" t="n"/>
      <c r="H144" s="23">
        <f>IF(AND(F144&lt;&gt;"",G144&lt;&gt;""),G144-F144,"")</f>
        <v/>
      </c>
      <c r="I144" s="10">
        <f>IF(H144&lt;&gt;"",H144*0.70,"")</f>
        <v/>
      </c>
    </row>
    <row r="145">
      <c r="A145" s="3" t="n">
        <v>143</v>
      </c>
      <c r="B145" s="4" t="n"/>
      <c r="C145" s="5" t="n"/>
      <c r="D145" s="5" t="n"/>
      <c r="E145" s="5" t="n"/>
      <c r="F145" s="20" t="n"/>
      <c r="G145" s="20" t="n"/>
      <c r="H145" s="21">
        <f>IF(AND(F145&lt;&gt;"",G145&lt;&gt;""),G145-F145,"")</f>
        <v/>
      </c>
      <c r="I145" s="6">
        <f>IF(H145&lt;&gt;"",H145*0.70,"")</f>
        <v/>
      </c>
    </row>
    <row r="146">
      <c r="A146" s="7" t="n">
        <v>144</v>
      </c>
      <c r="B146" s="8" t="n"/>
      <c r="C146" s="9" t="n"/>
      <c r="D146" s="9" t="n"/>
      <c r="E146" s="9" t="n"/>
      <c r="F146" s="22" t="n"/>
      <c r="G146" s="22" t="n"/>
      <c r="H146" s="23">
        <f>IF(AND(F146&lt;&gt;"",G146&lt;&gt;""),G146-F146,"")</f>
        <v/>
      </c>
      <c r="I146" s="10">
        <f>IF(H146&lt;&gt;"",H146*0.70,"")</f>
        <v/>
      </c>
    </row>
    <row r="147">
      <c r="A147" s="3" t="n">
        <v>145</v>
      </c>
      <c r="B147" s="4" t="n"/>
      <c r="C147" s="5" t="n"/>
      <c r="D147" s="5" t="n"/>
      <c r="E147" s="5" t="n"/>
      <c r="F147" s="20" t="n"/>
      <c r="G147" s="20" t="n"/>
      <c r="H147" s="21">
        <f>IF(AND(F147&lt;&gt;"",G147&lt;&gt;""),G147-F147,"")</f>
        <v/>
      </c>
      <c r="I147" s="6">
        <f>IF(H147&lt;&gt;"",H147*0.70,"")</f>
        <v/>
      </c>
    </row>
    <row r="148">
      <c r="A148" s="7" t="n">
        <v>146</v>
      </c>
      <c r="B148" s="8" t="n"/>
      <c r="C148" s="9" t="n"/>
      <c r="D148" s="9" t="n"/>
      <c r="E148" s="9" t="n"/>
      <c r="F148" s="22" t="n"/>
      <c r="G148" s="22" t="n"/>
      <c r="H148" s="23">
        <f>IF(AND(F148&lt;&gt;"",G148&lt;&gt;""),G148-F148,"")</f>
        <v/>
      </c>
      <c r="I148" s="10">
        <f>IF(H148&lt;&gt;"",H148*0.70,"")</f>
        <v/>
      </c>
    </row>
    <row r="149">
      <c r="A149" s="3" t="n">
        <v>147</v>
      </c>
      <c r="B149" s="4" t="n"/>
      <c r="C149" s="5" t="n"/>
      <c r="D149" s="5" t="n"/>
      <c r="E149" s="5" t="n"/>
      <c r="F149" s="20" t="n"/>
      <c r="G149" s="20" t="n"/>
      <c r="H149" s="21">
        <f>IF(AND(F149&lt;&gt;"",G149&lt;&gt;""),G149-F149,"")</f>
        <v/>
      </c>
      <c r="I149" s="6">
        <f>IF(H149&lt;&gt;"",H149*0.70,"")</f>
        <v/>
      </c>
    </row>
    <row r="150">
      <c r="A150" s="7" t="n">
        <v>148</v>
      </c>
      <c r="B150" s="8" t="n"/>
      <c r="C150" s="9" t="n"/>
      <c r="D150" s="9" t="n"/>
      <c r="E150" s="9" t="n"/>
      <c r="F150" s="22" t="n"/>
      <c r="G150" s="22" t="n"/>
      <c r="H150" s="23">
        <f>IF(AND(F150&lt;&gt;"",G150&lt;&gt;""),G150-F150,"")</f>
        <v/>
      </c>
      <c r="I150" s="10">
        <f>IF(H150&lt;&gt;"",H150*0.70,"")</f>
        <v/>
      </c>
    </row>
    <row r="151">
      <c r="A151" s="3" t="n">
        <v>149</v>
      </c>
      <c r="B151" s="4" t="n"/>
      <c r="C151" s="5" t="n"/>
      <c r="D151" s="5" t="n"/>
      <c r="E151" s="5" t="n"/>
      <c r="F151" s="20" t="n"/>
      <c r="G151" s="20" t="n"/>
      <c r="H151" s="21">
        <f>IF(AND(F151&lt;&gt;"",G151&lt;&gt;""),G151-F151,"")</f>
        <v/>
      </c>
      <c r="I151" s="6">
        <f>IF(H151&lt;&gt;"",H151*0.70,"")</f>
        <v/>
      </c>
    </row>
    <row r="152">
      <c r="A152" s="7" t="n">
        <v>150</v>
      </c>
      <c r="B152" s="8" t="n"/>
      <c r="C152" s="9" t="n"/>
      <c r="D152" s="9" t="n"/>
      <c r="E152" s="9" t="n"/>
      <c r="F152" s="22" t="n"/>
      <c r="G152" s="22" t="n"/>
      <c r="H152" s="23">
        <f>IF(AND(F152&lt;&gt;"",G152&lt;&gt;""),G152-F152,"")</f>
        <v/>
      </c>
      <c r="I152" s="10">
        <f>IF(H152&lt;&gt;"",H152*0.70,"")</f>
        <v/>
      </c>
    </row>
    <row r="153">
      <c r="A153" s="3" t="n">
        <v>151</v>
      </c>
      <c r="B153" s="4" t="n"/>
      <c r="C153" s="5" t="n"/>
      <c r="D153" s="5" t="n"/>
      <c r="E153" s="5" t="n"/>
      <c r="F153" s="20" t="n"/>
      <c r="G153" s="20" t="n"/>
      <c r="H153" s="21">
        <f>IF(AND(F153&lt;&gt;"",G153&lt;&gt;""),G153-F153,"")</f>
        <v/>
      </c>
      <c r="I153" s="6">
        <f>IF(H153&lt;&gt;"",H153*0.70,"")</f>
        <v/>
      </c>
    </row>
    <row r="154">
      <c r="A154" s="7" t="n">
        <v>152</v>
      </c>
      <c r="B154" s="8" t="n"/>
      <c r="C154" s="9" t="n"/>
      <c r="D154" s="9" t="n"/>
      <c r="E154" s="9" t="n"/>
      <c r="F154" s="22" t="n"/>
      <c r="G154" s="22" t="n"/>
      <c r="H154" s="23">
        <f>IF(AND(F154&lt;&gt;"",G154&lt;&gt;""),G154-F154,"")</f>
        <v/>
      </c>
      <c r="I154" s="10">
        <f>IF(H154&lt;&gt;"",H154*0.70,"")</f>
        <v/>
      </c>
    </row>
    <row r="155">
      <c r="A155" s="3" t="n">
        <v>153</v>
      </c>
      <c r="B155" s="4" t="n"/>
      <c r="C155" s="5" t="n"/>
      <c r="D155" s="5" t="n"/>
      <c r="E155" s="5" t="n"/>
      <c r="F155" s="20" t="n"/>
      <c r="G155" s="20" t="n"/>
      <c r="H155" s="21">
        <f>IF(AND(F155&lt;&gt;"",G155&lt;&gt;""),G155-F155,"")</f>
        <v/>
      </c>
      <c r="I155" s="6">
        <f>IF(H155&lt;&gt;"",H155*0.70,"")</f>
        <v/>
      </c>
    </row>
    <row r="156">
      <c r="A156" s="7" t="n">
        <v>154</v>
      </c>
      <c r="B156" s="8" t="n"/>
      <c r="C156" s="9" t="n"/>
      <c r="D156" s="9" t="n"/>
      <c r="E156" s="9" t="n"/>
      <c r="F156" s="22" t="n"/>
      <c r="G156" s="22" t="n"/>
      <c r="H156" s="23">
        <f>IF(AND(F156&lt;&gt;"",G156&lt;&gt;""),G156-F156,"")</f>
        <v/>
      </c>
      <c r="I156" s="10">
        <f>IF(H156&lt;&gt;"",H156*0.70,"")</f>
        <v/>
      </c>
    </row>
    <row r="157">
      <c r="A157" s="3" t="n">
        <v>155</v>
      </c>
      <c r="B157" s="4" t="n"/>
      <c r="C157" s="5" t="n"/>
      <c r="D157" s="5" t="n"/>
      <c r="E157" s="5" t="n"/>
      <c r="F157" s="20" t="n"/>
      <c r="G157" s="20" t="n"/>
      <c r="H157" s="21">
        <f>IF(AND(F157&lt;&gt;"",G157&lt;&gt;""),G157-F157,"")</f>
        <v/>
      </c>
      <c r="I157" s="6">
        <f>IF(H157&lt;&gt;"",H157*0.70,"")</f>
        <v/>
      </c>
    </row>
    <row r="158">
      <c r="A158" s="7" t="n">
        <v>156</v>
      </c>
      <c r="B158" s="8" t="n"/>
      <c r="C158" s="9" t="n"/>
      <c r="D158" s="9" t="n"/>
      <c r="E158" s="9" t="n"/>
      <c r="F158" s="22" t="n"/>
      <c r="G158" s="22" t="n"/>
      <c r="H158" s="23">
        <f>IF(AND(F158&lt;&gt;"",G158&lt;&gt;""),G158-F158,"")</f>
        <v/>
      </c>
      <c r="I158" s="10">
        <f>IF(H158&lt;&gt;"",H158*0.70,"")</f>
        <v/>
      </c>
    </row>
    <row r="159">
      <c r="A159" s="3" t="n">
        <v>157</v>
      </c>
      <c r="B159" s="4" t="n"/>
      <c r="C159" s="5" t="n"/>
      <c r="D159" s="5" t="n"/>
      <c r="E159" s="5" t="n"/>
      <c r="F159" s="20" t="n"/>
      <c r="G159" s="20" t="n"/>
      <c r="H159" s="21">
        <f>IF(AND(F159&lt;&gt;"",G159&lt;&gt;""),G159-F159,"")</f>
        <v/>
      </c>
      <c r="I159" s="6">
        <f>IF(H159&lt;&gt;"",H159*0.70,"")</f>
        <v/>
      </c>
    </row>
    <row r="160">
      <c r="A160" s="7" t="n">
        <v>158</v>
      </c>
      <c r="B160" s="8" t="n"/>
      <c r="C160" s="9" t="n"/>
      <c r="D160" s="9" t="n"/>
      <c r="E160" s="9" t="n"/>
      <c r="F160" s="22" t="n"/>
      <c r="G160" s="22" t="n"/>
      <c r="H160" s="23">
        <f>IF(AND(F160&lt;&gt;"",G160&lt;&gt;""),G160-F160,"")</f>
        <v/>
      </c>
      <c r="I160" s="10">
        <f>IF(H160&lt;&gt;"",H160*0.70,"")</f>
        <v/>
      </c>
    </row>
    <row r="161">
      <c r="A161" s="3" t="n">
        <v>159</v>
      </c>
      <c r="B161" s="4" t="n"/>
      <c r="C161" s="5" t="n"/>
      <c r="D161" s="5" t="n"/>
      <c r="E161" s="5" t="n"/>
      <c r="F161" s="20" t="n"/>
      <c r="G161" s="20" t="n"/>
      <c r="H161" s="21">
        <f>IF(AND(F161&lt;&gt;"",G161&lt;&gt;""),G161-F161,"")</f>
        <v/>
      </c>
      <c r="I161" s="6">
        <f>IF(H161&lt;&gt;"",H161*0.70,"")</f>
        <v/>
      </c>
    </row>
    <row r="162">
      <c r="A162" s="7" t="n">
        <v>160</v>
      </c>
      <c r="B162" s="8" t="n"/>
      <c r="C162" s="9" t="n"/>
      <c r="D162" s="9" t="n"/>
      <c r="E162" s="9" t="n"/>
      <c r="F162" s="22" t="n"/>
      <c r="G162" s="22" t="n"/>
      <c r="H162" s="23">
        <f>IF(AND(F162&lt;&gt;"",G162&lt;&gt;""),G162-F162,"")</f>
        <v/>
      </c>
      <c r="I162" s="10">
        <f>IF(H162&lt;&gt;"",H162*0.70,"")</f>
        <v/>
      </c>
    </row>
    <row r="163">
      <c r="A163" s="3" t="n">
        <v>161</v>
      </c>
      <c r="B163" s="4" t="n"/>
      <c r="C163" s="5" t="n"/>
      <c r="D163" s="5" t="n"/>
      <c r="E163" s="5" t="n"/>
      <c r="F163" s="20" t="n"/>
      <c r="G163" s="20" t="n"/>
      <c r="H163" s="21">
        <f>IF(AND(F163&lt;&gt;"",G163&lt;&gt;""),G163-F163,"")</f>
        <v/>
      </c>
      <c r="I163" s="6">
        <f>IF(H163&lt;&gt;"",H163*0.70,"")</f>
        <v/>
      </c>
    </row>
    <row r="164">
      <c r="A164" s="7" t="n">
        <v>162</v>
      </c>
      <c r="B164" s="8" t="n"/>
      <c r="C164" s="9" t="n"/>
      <c r="D164" s="9" t="n"/>
      <c r="E164" s="9" t="n"/>
      <c r="F164" s="22" t="n"/>
      <c r="G164" s="22" t="n"/>
      <c r="H164" s="23">
        <f>IF(AND(F164&lt;&gt;"",G164&lt;&gt;""),G164-F164,"")</f>
        <v/>
      </c>
      <c r="I164" s="10">
        <f>IF(H164&lt;&gt;"",H164*0.70,"")</f>
        <v/>
      </c>
    </row>
    <row r="165">
      <c r="A165" s="3" t="n">
        <v>163</v>
      </c>
      <c r="B165" s="4" t="n"/>
      <c r="C165" s="5" t="n"/>
      <c r="D165" s="5" t="n"/>
      <c r="E165" s="5" t="n"/>
      <c r="F165" s="20" t="n"/>
      <c r="G165" s="20" t="n"/>
      <c r="H165" s="21">
        <f>IF(AND(F165&lt;&gt;"",G165&lt;&gt;""),G165-F165,"")</f>
        <v/>
      </c>
      <c r="I165" s="6">
        <f>IF(H165&lt;&gt;"",H165*0.70,"")</f>
        <v/>
      </c>
    </row>
    <row r="166">
      <c r="A166" s="7" t="n">
        <v>164</v>
      </c>
      <c r="B166" s="8" t="n"/>
      <c r="C166" s="9" t="n"/>
      <c r="D166" s="9" t="n"/>
      <c r="E166" s="9" t="n"/>
      <c r="F166" s="22" t="n"/>
      <c r="G166" s="22" t="n"/>
      <c r="H166" s="23">
        <f>IF(AND(F166&lt;&gt;"",G166&lt;&gt;""),G166-F166,"")</f>
        <v/>
      </c>
      <c r="I166" s="10">
        <f>IF(H166&lt;&gt;"",H166*0.70,"")</f>
        <v/>
      </c>
    </row>
    <row r="167">
      <c r="A167" s="3" t="n">
        <v>165</v>
      </c>
      <c r="B167" s="4" t="n"/>
      <c r="C167" s="5" t="n"/>
      <c r="D167" s="5" t="n"/>
      <c r="E167" s="5" t="n"/>
      <c r="F167" s="20" t="n"/>
      <c r="G167" s="20" t="n"/>
      <c r="H167" s="21">
        <f>IF(AND(F167&lt;&gt;"",G167&lt;&gt;""),G167-F167,"")</f>
        <v/>
      </c>
      <c r="I167" s="6">
        <f>IF(H167&lt;&gt;"",H167*0.70,"")</f>
        <v/>
      </c>
    </row>
    <row r="168">
      <c r="A168" s="7" t="n">
        <v>166</v>
      </c>
      <c r="B168" s="8" t="n"/>
      <c r="C168" s="9" t="n"/>
      <c r="D168" s="9" t="n"/>
      <c r="E168" s="9" t="n"/>
      <c r="F168" s="22" t="n"/>
      <c r="G168" s="22" t="n"/>
      <c r="H168" s="23">
        <f>IF(AND(F168&lt;&gt;"",G168&lt;&gt;""),G168-F168,"")</f>
        <v/>
      </c>
      <c r="I168" s="10">
        <f>IF(H168&lt;&gt;"",H168*0.70,"")</f>
        <v/>
      </c>
    </row>
    <row r="169">
      <c r="A169" s="3" t="n">
        <v>167</v>
      </c>
      <c r="B169" s="4" t="n"/>
      <c r="C169" s="5" t="n"/>
      <c r="D169" s="5" t="n"/>
      <c r="E169" s="5" t="n"/>
      <c r="F169" s="20" t="n"/>
      <c r="G169" s="20" t="n"/>
      <c r="H169" s="21">
        <f>IF(AND(F169&lt;&gt;"",G169&lt;&gt;""),G169-F169,"")</f>
        <v/>
      </c>
      <c r="I169" s="6">
        <f>IF(H169&lt;&gt;"",H169*0.70,"")</f>
        <v/>
      </c>
    </row>
    <row r="170">
      <c r="A170" s="7" t="n">
        <v>168</v>
      </c>
      <c r="B170" s="8" t="n"/>
      <c r="C170" s="9" t="n"/>
      <c r="D170" s="9" t="n"/>
      <c r="E170" s="9" t="n"/>
      <c r="F170" s="22" t="n"/>
      <c r="G170" s="22" t="n"/>
      <c r="H170" s="23">
        <f>IF(AND(F170&lt;&gt;"",G170&lt;&gt;""),G170-F170,"")</f>
        <v/>
      </c>
      <c r="I170" s="10">
        <f>IF(H170&lt;&gt;"",H170*0.70,"")</f>
        <v/>
      </c>
    </row>
    <row r="171">
      <c r="A171" s="3" t="n">
        <v>169</v>
      </c>
      <c r="B171" s="4" t="n"/>
      <c r="C171" s="5" t="n"/>
      <c r="D171" s="5" t="n"/>
      <c r="E171" s="5" t="n"/>
      <c r="F171" s="20" t="n"/>
      <c r="G171" s="20" t="n"/>
      <c r="H171" s="21">
        <f>IF(AND(F171&lt;&gt;"",G171&lt;&gt;""),G171-F171,"")</f>
        <v/>
      </c>
      <c r="I171" s="6">
        <f>IF(H171&lt;&gt;"",H171*0.70,"")</f>
        <v/>
      </c>
    </row>
    <row r="172">
      <c r="A172" s="7" t="n">
        <v>170</v>
      </c>
      <c r="B172" s="8" t="n"/>
      <c r="C172" s="9" t="n"/>
      <c r="D172" s="9" t="n"/>
      <c r="E172" s="9" t="n"/>
      <c r="F172" s="22" t="n"/>
      <c r="G172" s="22" t="n"/>
      <c r="H172" s="23">
        <f>IF(AND(F172&lt;&gt;"",G172&lt;&gt;""),G172-F172,"")</f>
        <v/>
      </c>
      <c r="I172" s="10">
        <f>IF(H172&lt;&gt;"",H172*0.70,"")</f>
        <v/>
      </c>
    </row>
    <row r="173">
      <c r="A173" s="3" t="n">
        <v>171</v>
      </c>
      <c r="B173" s="4" t="n"/>
      <c r="C173" s="5" t="n"/>
      <c r="D173" s="5" t="n"/>
      <c r="E173" s="5" t="n"/>
      <c r="F173" s="20" t="n"/>
      <c r="G173" s="20" t="n"/>
      <c r="H173" s="21">
        <f>IF(AND(F173&lt;&gt;"",G173&lt;&gt;""),G173-F173,"")</f>
        <v/>
      </c>
      <c r="I173" s="6">
        <f>IF(H173&lt;&gt;"",H173*0.70,"")</f>
        <v/>
      </c>
    </row>
    <row r="174">
      <c r="A174" s="7" t="n">
        <v>172</v>
      </c>
      <c r="B174" s="8" t="n"/>
      <c r="C174" s="9" t="n"/>
      <c r="D174" s="9" t="n"/>
      <c r="E174" s="9" t="n"/>
      <c r="F174" s="22" t="n"/>
      <c r="G174" s="22" t="n"/>
      <c r="H174" s="23">
        <f>IF(AND(F174&lt;&gt;"",G174&lt;&gt;""),G174-F174,"")</f>
        <v/>
      </c>
      <c r="I174" s="10">
        <f>IF(H174&lt;&gt;"",H174*0.70,"")</f>
        <v/>
      </c>
    </row>
    <row r="175">
      <c r="A175" s="3" t="n">
        <v>173</v>
      </c>
      <c r="B175" s="4" t="n"/>
      <c r="C175" s="5" t="n"/>
      <c r="D175" s="5" t="n"/>
      <c r="E175" s="5" t="n"/>
      <c r="F175" s="20" t="n"/>
      <c r="G175" s="20" t="n"/>
      <c r="H175" s="21">
        <f>IF(AND(F175&lt;&gt;"",G175&lt;&gt;""),G175-F175,"")</f>
        <v/>
      </c>
      <c r="I175" s="6">
        <f>IF(H175&lt;&gt;"",H175*0.70,"")</f>
        <v/>
      </c>
    </row>
    <row r="176">
      <c r="A176" s="7" t="n">
        <v>174</v>
      </c>
      <c r="B176" s="8" t="n"/>
      <c r="C176" s="9" t="n"/>
      <c r="D176" s="9" t="n"/>
      <c r="E176" s="9" t="n"/>
      <c r="F176" s="22" t="n"/>
      <c r="G176" s="22" t="n"/>
      <c r="H176" s="23">
        <f>IF(AND(F176&lt;&gt;"",G176&lt;&gt;""),G176-F176,"")</f>
        <v/>
      </c>
      <c r="I176" s="10">
        <f>IF(H176&lt;&gt;"",H176*0.70,"")</f>
        <v/>
      </c>
    </row>
    <row r="177">
      <c r="A177" s="3" t="n">
        <v>175</v>
      </c>
      <c r="B177" s="4" t="n"/>
      <c r="C177" s="5" t="n"/>
      <c r="D177" s="5" t="n"/>
      <c r="E177" s="5" t="n"/>
      <c r="F177" s="20" t="n"/>
      <c r="G177" s="20" t="n"/>
      <c r="H177" s="21">
        <f>IF(AND(F177&lt;&gt;"",G177&lt;&gt;""),G177-F177,"")</f>
        <v/>
      </c>
      <c r="I177" s="6">
        <f>IF(H177&lt;&gt;"",H177*0.70,"")</f>
        <v/>
      </c>
    </row>
    <row r="178">
      <c r="A178" s="7" t="n">
        <v>176</v>
      </c>
      <c r="B178" s="8" t="n"/>
      <c r="C178" s="9" t="n"/>
      <c r="D178" s="9" t="n"/>
      <c r="E178" s="9" t="n"/>
      <c r="F178" s="22" t="n"/>
      <c r="G178" s="22" t="n"/>
      <c r="H178" s="23">
        <f>IF(AND(F178&lt;&gt;"",G178&lt;&gt;""),G178-F178,"")</f>
        <v/>
      </c>
      <c r="I178" s="10">
        <f>IF(H178&lt;&gt;"",H178*0.70,"")</f>
        <v/>
      </c>
    </row>
    <row r="179">
      <c r="A179" s="3" t="n">
        <v>177</v>
      </c>
      <c r="B179" s="4" t="n"/>
      <c r="C179" s="5" t="n"/>
      <c r="D179" s="5" t="n"/>
      <c r="E179" s="5" t="n"/>
      <c r="F179" s="20" t="n"/>
      <c r="G179" s="20" t="n"/>
      <c r="H179" s="21">
        <f>IF(AND(F179&lt;&gt;"",G179&lt;&gt;""),G179-F179,"")</f>
        <v/>
      </c>
      <c r="I179" s="6">
        <f>IF(H179&lt;&gt;"",H179*0.70,"")</f>
        <v/>
      </c>
    </row>
    <row r="180">
      <c r="A180" s="7" t="n">
        <v>178</v>
      </c>
      <c r="B180" s="8" t="n"/>
      <c r="C180" s="9" t="n"/>
      <c r="D180" s="9" t="n"/>
      <c r="E180" s="9" t="n"/>
      <c r="F180" s="22" t="n"/>
      <c r="G180" s="22" t="n"/>
      <c r="H180" s="23">
        <f>IF(AND(F180&lt;&gt;"",G180&lt;&gt;""),G180-F180,"")</f>
        <v/>
      </c>
      <c r="I180" s="10">
        <f>IF(H180&lt;&gt;"",H180*0.70,"")</f>
        <v/>
      </c>
    </row>
    <row r="181">
      <c r="A181" s="3" t="n">
        <v>179</v>
      </c>
      <c r="B181" s="4" t="n"/>
      <c r="C181" s="5" t="n"/>
      <c r="D181" s="5" t="n"/>
      <c r="E181" s="5" t="n"/>
      <c r="F181" s="20" t="n"/>
      <c r="G181" s="20" t="n"/>
      <c r="H181" s="21">
        <f>IF(AND(F181&lt;&gt;"",G181&lt;&gt;""),G181-F181,"")</f>
        <v/>
      </c>
      <c r="I181" s="6">
        <f>IF(H181&lt;&gt;"",H181*0.70,"")</f>
        <v/>
      </c>
    </row>
    <row r="182">
      <c r="A182" s="7" t="n">
        <v>180</v>
      </c>
      <c r="B182" s="8" t="n"/>
      <c r="C182" s="9" t="n"/>
      <c r="D182" s="9" t="n"/>
      <c r="E182" s="9" t="n"/>
      <c r="F182" s="22" t="n"/>
      <c r="G182" s="22" t="n"/>
      <c r="H182" s="23">
        <f>IF(AND(F182&lt;&gt;"",G182&lt;&gt;""),G182-F182,"")</f>
        <v/>
      </c>
      <c r="I182" s="10">
        <f>IF(H182&lt;&gt;"",H182*0.70,"")</f>
        <v/>
      </c>
    </row>
    <row r="183">
      <c r="A183" s="3" t="n">
        <v>181</v>
      </c>
      <c r="B183" s="4" t="n"/>
      <c r="C183" s="5" t="n"/>
      <c r="D183" s="5" t="n"/>
      <c r="E183" s="5" t="n"/>
      <c r="F183" s="20" t="n"/>
      <c r="G183" s="20" t="n"/>
      <c r="H183" s="21">
        <f>IF(AND(F183&lt;&gt;"",G183&lt;&gt;""),G183-F183,"")</f>
        <v/>
      </c>
      <c r="I183" s="6">
        <f>IF(H183&lt;&gt;"",H183*0.70,"")</f>
        <v/>
      </c>
    </row>
    <row r="184">
      <c r="A184" s="7" t="n">
        <v>182</v>
      </c>
      <c r="B184" s="8" t="n"/>
      <c r="C184" s="9" t="n"/>
      <c r="D184" s="9" t="n"/>
      <c r="E184" s="9" t="n"/>
      <c r="F184" s="22" t="n"/>
      <c r="G184" s="22" t="n"/>
      <c r="H184" s="23">
        <f>IF(AND(F184&lt;&gt;"",G184&lt;&gt;""),G184-F184,"")</f>
        <v/>
      </c>
      <c r="I184" s="10">
        <f>IF(H184&lt;&gt;"",H184*0.70,"")</f>
        <v/>
      </c>
    </row>
    <row r="185">
      <c r="A185" s="3" t="n">
        <v>183</v>
      </c>
      <c r="B185" s="4" t="n"/>
      <c r="C185" s="5" t="n"/>
      <c r="D185" s="5" t="n"/>
      <c r="E185" s="5" t="n"/>
      <c r="F185" s="20" t="n"/>
      <c r="G185" s="20" t="n"/>
      <c r="H185" s="21">
        <f>IF(AND(F185&lt;&gt;"",G185&lt;&gt;""),G185-F185,"")</f>
        <v/>
      </c>
      <c r="I185" s="6">
        <f>IF(H185&lt;&gt;"",H185*0.70,"")</f>
        <v/>
      </c>
    </row>
    <row r="186">
      <c r="A186" s="7" t="n">
        <v>184</v>
      </c>
      <c r="B186" s="8" t="n"/>
      <c r="C186" s="9" t="n"/>
      <c r="D186" s="9" t="n"/>
      <c r="E186" s="9" t="n"/>
      <c r="F186" s="22" t="n"/>
      <c r="G186" s="22" t="n"/>
      <c r="H186" s="23">
        <f>IF(AND(F186&lt;&gt;"",G186&lt;&gt;""),G186-F186,"")</f>
        <v/>
      </c>
      <c r="I186" s="10">
        <f>IF(H186&lt;&gt;"",H186*0.70,"")</f>
        <v/>
      </c>
    </row>
    <row r="187">
      <c r="A187" s="3" t="n">
        <v>185</v>
      </c>
      <c r="B187" s="4" t="n"/>
      <c r="C187" s="5" t="n"/>
      <c r="D187" s="5" t="n"/>
      <c r="E187" s="5" t="n"/>
      <c r="F187" s="20" t="n"/>
      <c r="G187" s="20" t="n"/>
      <c r="H187" s="21">
        <f>IF(AND(F187&lt;&gt;"",G187&lt;&gt;""),G187-F187,"")</f>
        <v/>
      </c>
      <c r="I187" s="6">
        <f>IF(H187&lt;&gt;"",H187*0.70,"")</f>
        <v/>
      </c>
    </row>
    <row r="188">
      <c r="A188" s="7" t="n">
        <v>186</v>
      </c>
      <c r="B188" s="8" t="n"/>
      <c r="C188" s="9" t="n"/>
      <c r="D188" s="9" t="n"/>
      <c r="E188" s="9" t="n"/>
      <c r="F188" s="22" t="n"/>
      <c r="G188" s="22" t="n"/>
      <c r="H188" s="23">
        <f>IF(AND(F188&lt;&gt;"",G188&lt;&gt;""),G188-F188,"")</f>
        <v/>
      </c>
      <c r="I188" s="10">
        <f>IF(H188&lt;&gt;"",H188*0.70,"")</f>
        <v/>
      </c>
    </row>
    <row r="189">
      <c r="A189" s="3" t="n">
        <v>187</v>
      </c>
      <c r="B189" s="4" t="n"/>
      <c r="C189" s="5" t="n"/>
      <c r="D189" s="5" t="n"/>
      <c r="E189" s="5" t="n"/>
      <c r="F189" s="20" t="n"/>
      <c r="G189" s="20" t="n"/>
      <c r="H189" s="21">
        <f>IF(AND(F189&lt;&gt;"",G189&lt;&gt;""),G189-F189,"")</f>
        <v/>
      </c>
      <c r="I189" s="6">
        <f>IF(H189&lt;&gt;"",H189*0.70,"")</f>
        <v/>
      </c>
    </row>
    <row r="190">
      <c r="A190" s="7" t="n">
        <v>188</v>
      </c>
      <c r="B190" s="8" t="n"/>
      <c r="C190" s="9" t="n"/>
      <c r="D190" s="9" t="n"/>
      <c r="E190" s="9" t="n"/>
      <c r="F190" s="22" t="n"/>
      <c r="G190" s="22" t="n"/>
      <c r="H190" s="23">
        <f>IF(AND(F190&lt;&gt;"",G190&lt;&gt;""),G190-F190,"")</f>
        <v/>
      </c>
      <c r="I190" s="10">
        <f>IF(H190&lt;&gt;"",H190*0.70,"")</f>
        <v/>
      </c>
    </row>
    <row r="191">
      <c r="A191" s="3" t="n">
        <v>189</v>
      </c>
      <c r="B191" s="4" t="n"/>
      <c r="C191" s="5" t="n"/>
      <c r="D191" s="5" t="n"/>
      <c r="E191" s="5" t="n"/>
      <c r="F191" s="20" t="n"/>
      <c r="G191" s="20" t="n"/>
      <c r="H191" s="21">
        <f>IF(AND(F191&lt;&gt;"",G191&lt;&gt;""),G191-F191,"")</f>
        <v/>
      </c>
      <c r="I191" s="6">
        <f>IF(H191&lt;&gt;"",H191*0.70,"")</f>
        <v/>
      </c>
    </row>
    <row r="192">
      <c r="A192" s="7" t="n">
        <v>190</v>
      </c>
      <c r="B192" s="8" t="n"/>
      <c r="C192" s="9" t="n"/>
      <c r="D192" s="9" t="n"/>
      <c r="E192" s="9" t="n"/>
      <c r="F192" s="22" t="n"/>
      <c r="G192" s="22" t="n"/>
      <c r="H192" s="23">
        <f>IF(AND(F192&lt;&gt;"",G192&lt;&gt;""),G192-F192,"")</f>
        <v/>
      </c>
      <c r="I192" s="10">
        <f>IF(H192&lt;&gt;"",H192*0.70,"")</f>
        <v/>
      </c>
    </row>
    <row r="193">
      <c r="A193" s="3" t="n">
        <v>191</v>
      </c>
      <c r="B193" s="4" t="n"/>
      <c r="C193" s="5" t="n"/>
      <c r="D193" s="5" t="n"/>
      <c r="E193" s="5" t="n"/>
      <c r="F193" s="20" t="n"/>
      <c r="G193" s="20" t="n"/>
      <c r="H193" s="21">
        <f>IF(AND(F193&lt;&gt;"",G193&lt;&gt;""),G193-F193,"")</f>
        <v/>
      </c>
      <c r="I193" s="6">
        <f>IF(H193&lt;&gt;"",H193*0.70,"")</f>
        <v/>
      </c>
    </row>
    <row r="194">
      <c r="A194" s="7" t="n">
        <v>192</v>
      </c>
      <c r="B194" s="8" t="n"/>
      <c r="C194" s="9" t="n"/>
      <c r="D194" s="9" t="n"/>
      <c r="E194" s="9" t="n"/>
      <c r="F194" s="22" t="n"/>
      <c r="G194" s="22" t="n"/>
      <c r="H194" s="23">
        <f>IF(AND(F194&lt;&gt;"",G194&lt;&gt;""),G194-F194,"")</f>
        <v/>
      </c>
      <c r="I194" s="10">
        <f>IF(H194&lt;&gt;"",H194*0.70,"")</f>
        <v/>
      </c>
    </row>
    <row r="195">
      <c r="A195" s="3" t="n">
        <v>193</v>
      </c>
      <c r="B195" s="4" t="n"/>
      <c r="C195" s="5" t="n"/>
      <c r="D195" s="5" t="n"/>
      <c r="E195" s="5" t="n"/>
      <c r="F195" s="20" t="n"/>
      <c r="G195" s="20" t="n"/>
      <c r="H195" s="21">
        <f>IF(AND(F195&lt;&gt;"",G195&lt;&gt;""),G195-F195,"")</f>
        <v/>
      </c>
      <c r="I195" s="6">
        <f>IF(H195&lt;&gt;"",H195*0.70,"")</f>
        <v/>
      </c>
    </row>
    <row r="196">
      <c r="A196" s="7" t="n">
        <v>194</v>
      </c>
      <c r="B196" s="8" t="n"/>
      <c r="C196" s="9" t="n"/>
      <c r="D196" s="9" t="n"/>
      <c r="E196" s="9" t="n"/>
      <c r="F196" s="22" t="n"/>
      <c r="G196" s="22" t="n"/>
      <c r="H196" s="23">
        <f>IF(AND(F196&lt;&gt;"",G196&lt;&gt;""),G196-F196,"")</f>
        <v/>
      </c>
      <c r="I196" s="10">
        <f>IF(H196&lt;&gt;"",H196*0.70,"")</f>
        <v/>
      </c>
    </row>
    <row r="197">
      <c r="A197" s="3" t="n">
        <v>195</v>
      </c>
      <c r="B197" s="4" t="n"/>
      <c r="C197" s="5" t="n"/>
      <c r="D197" s="5" t="n"/>
      <c r="E197" s="5" t="n"/>
      <c r="F197" s="20" t="n"/>
      <c r="G197" s="20" t="n"/>
      <c r="H197" s="21">
        <f>IF(AND(F197&lt;&gt;"",G197&lt;&gt;""),G197-F197,"")</f>
        <v/>
      </c>
      <c r="I197" s="6">
        <f>IF(H197&lt;&gt;"",H197*0.70,"")</f>
        <v/>
      </c>
    </row>
    <row r="198">
      <c r="A198" s="7" t="n">
        <v>196</v>
      </c>
      <c r="B198" s="8" t="n"/>
      <c r="C198" s="9" t="n"/>
      <c r="D198" s="9" t="n"/>
      <c r="E198" s="9" t="n"/>
      <c r="F198" s="22" t="n"/>
      <c r="G198" s="22" t="n"/>
      <c r="H198" s="23">
        <f>IF(AND(F198&lt;&gt;"",G198&lt;&gt;""),G198-F198,"")</f>
        <v/>
      </c>
      <c r="I198" s="10">
        <f>IF(H198&lt;&gt;"",H198*0.70,"")</f>
        <v/>
      </c>
    </row>
    <row r="199">
      <c r="A199" s="3" t="n">
        <v>197</v>
      </c>
      <c r="B199" s="4" t="n"/>
      <c r="C199" s="5" t="n"/>
      <c r="D199" s="5" t="n"/>
      <c r="E199" s="5" t="n"/>
      <c r="F199" s="20" t="n"/>
      <c r="G199" s="20" t="n"/>
      <c r="H199" s="21">
        <f>IF(AND(F199&lt;&gt;"",G199&lt;&gt;""),G199-F199,"")</f>
        <v/>
      </c>
      <c r="I199" s="6">
        <f>IF(H199&lt;&gt;"",H199*0.70,"")</f>
        <v/>
      </c>
    </row>
    <row r="200">
      <c r="A200" s="7" t="n">
        <v>198</v>
      </c>
      <c r="B200" s="8" t="n"/>
      <c r="C200" s="9" t="n"/>
      <c r="D200" s="9" t="n"/>
      <c r="E200" s="9" t="n"/>
      <c r="F200" s="22" t="n"/>
      <c r="G200" s="22" t="n"/>
      <c r="H200" s="23">
        <f>IF(AND(F200&lt;&gt;"",G200&lt;&gt;""),G200-F200,"")</f>
        <v/>
      </c>
      <c r="I200" s="10">
        <f>IF(H200&lt;&gt;"",H200*0.70,"")</f>
        <v/>
      </c>
    </row>
    <row r="201">
      <c r="A201" s="3" t="n">
        <v>199</v>
      </c>
      <c r="B201" s="4" t="n"/>
      <c r="C201" s="5" t="n"/>
      <c r="D201" s="5" t="n"/>
      <c r="E201" s="5" t="n"/>
      <c r="F201" s="20" t="n"/>
      <c r="G201" s="20" t="n"/>
      <c r="H201" s="21">
        <f>IF(AND(F201&lt;&gt;"",G201&lt;&gt;""),G201-F201,"")</f>
        <v/>
      </c>
      <c r="I201" s="6">
        <f>IF(H201&lt;&gt;"",H201*0.70,"")</f>
        <v/>
      </c>
    </row>
    <row r="202">
      <c r="A202" s="7" t="n">
        <v>200</v>
      </c>
      <c r="B202" s="8" t="n"/>
      <c r="C202" s="9" t="n"/>
      <c r="D202" s="9" t="n"/>
      <c r="E202" s="9" t="n"/>
      <c r="F202" s="22" t="n"/>
      <c r="G202" s="22" t="n"/>
      <c r="H202" s="23">
        <f>IF(AND(F202&lt;&gt;"",G202&lt;&gt;""),G202-F202,"")</f>
        <v/>
      </c>
      <c r="I202" s="10">
        <f>IF(H202&lt;&gt;"",H202*0.70,"")</f>
        <v/>
      </c>
    </row>
    <row r="203">
      <c r="A203" s="3" t="n">
        <v>201</v>
      </c>
      <c r="B203" s="4" t="n"/>
      <c r="C203" s="5" t="n"/>
      <c r="D203" s="5" t="n"/>
      <c r="E203" s="5" t="n"/>
      <c r="F203" s="20" t="n"/>
      <c r="G203" s="20" t="n"/>
      <c r="H203" s="21">
        <f>IF(AND(F203&lt;&gt;"",G203&lt;&gt;""),G203-F203,"")</f>
        <v/>
      </c>
      <c r="I203" s="6">
        <f>IF(H203&lt;&gt;"",H203*0.70,"")</f>
        <v/>
      </c>
    </row>
    <row r="204">
      <c r="A204" s="7" t="n">
        <v>202</v>
      </c>
      <c r="B204" s="8" t="n"/>
      <c r="C204" s="9" t="n"/>
      <c r="D204" s="9" t="n"/>
      <c r="E204" s="9" t="n"/>
      <c r="F204" s="22" t="n"/>
      <c r="G204" s="22" t="n"/>
      <c r="H204" s="23">
        <f>IF(AND(F204&lt;&gt;"",G204&lt;&gt;""),G204-F204,"")</f>
        <v/>
      </c>
      <c r="I204" s="10">
        <f>IF(H204&lt;&gt;"",H204*0.70,"")</f>
        <v/>
      </c>
    </row>
    <row r="205">
      <c r="A205" s="3" t="n">
        <v>203</v>
      </c>
      <c r="B205" s="4" t="n"/>
      <c r="C205" s="5" t="n"/>
      <c r="D205" s="5" t="n"/>
      <c r="E205" s="5" t="n"/>
      <c r="F205" s="20" t="n"/>
      <c r="G205" s="20" t="n"/>
      <c r="H205" s="21">
        <f>IF(AND(F205&lt;&gt;"",G205&lt;&gt;""),G205-F205,"")</f>
        <v/>
      </c>
      <c r="I205" s="6">
        <f>IF(H205&lt;&gt;"",H205*0.70,"")</f>
        <v/>
      </c>
    </row>
    <row r="206">
      <c r="A206" s="7" t="n">
        <v>204</v>
      </c>
      <c r="B206" s="8" t="n"/>
      <c r="C206" s="9" t="n"/>
      <c r="D206" s="9" t="n"/>
      <c r="E206" s="9" t="n"/>
      <c r="F206" s="22" t="n"/>
      <c r="G206" s="22" t="n"/>
      <c r="H206" s="23">
        <f>IF(AND(F206&lt;&gt;"",G206&lt;&gt;""),G206-F206,"")</f>
        <v/>
      </c>
      <c r="I206" s="10">
        <f>IF(H206&lt;&gt;"",H206*0.70,"")</f>
        <v/>
      </c>
    </row>
    <row r="207">
      <c r="A207" s="3" t="n">
        <v>205</v>
      </c>
      <c r="B207" s="4" t="n"/>
      <c r="C207" s="5" t="n"/>
      <c r="D207" s="5" t="n"/>
      <c r="E207" s="5" t="n"/>
      <c r="F207" s="20" t="n"/>
      <c r="G207" s="20" t="n"/>
      <c r="H207" s="21">
        <f>IF(AND(F207&lt;&gt;"",G207&lt;&gt;""),G207-F207,"")</f>
        <v/>
      </c>
      <c r="I207" s="6">
        <f>IF(H207&lt;&gt;"",H207*0.70,"")</f>
        <v/>
      </c>
    </row>
    <row r="208">
      <c r="A208" s="7" t="n">
        <v>206</v>
      </c>
      <c r="B208" s="8" t="n"/>
      <c r="C208" s="9" t="n"/>
      <c r="D208" s="9" t="n"/>
      <c r="E208" s="9" t="n"/>
      <c r="F208" s="22" t="n"/>
      <c r="G208" s="22" t="n"/>
      <c r="H208" s="23">
        <f>IF(AND(F208&lt;&gt;"",G208&lt;&gt;""),G208-F208,"")</f>
        <v/>
      </c>
      <c r="I208" s="10">
        <f>IF(H208&lt;&gt;"",H208*0.70,"")</f>
        <v/>
      </c>
    </row>
    <row r="209">
      <c r="A209" s="3" t="n">
        <v>207</v>
      </c>
      <c r="B209" s="4" t="n"/>
      <c r="C209" s="5" t="n"/>
      <c r="D209" s="5" t="n"/>
      <c r="E209" s="5" t="n"/>
      <c r="F209" s="20" t="n"/>
      <c r="G209" s="20" t="n"/>
      <c r="H209" s="21">
        <f>IF(AND(F209&lt;&gt;"",G209&lt;&gt;""),G209-F209,"")</f>
        <v/>
      </c>
      <c r="I209" s="6">
        <f>IF(H209&lt;&gt;"",H209*0.70,"")</f>
        <v/>
      </c>
    </row>
    <row r="210">
      <c r="A210" s="7" t="n">
        <v>208</v>
      </c>
      <c r="B210" s="8" t="n"/>
      <c r="C210" s="9" t="n"/>
      <c r="D210" s="9" t="n"/>
      <c r="E210" s="9" t="n"/>
      <c r="F210" s="22" t="n"/>
      <c r="G210" s="22" t="n"/>
      <c r="H210" s="23">
        <f>IF(AND(F210&lt;&gt;"",G210&lt;&gt;""),G210-F210,"")</f>
        <v/>
      </c>
      <c r="I210" s="10">
        <f>IF(H210&lt;&gt;"",H210*0.70,"")</f>
        <v/>
      </c>
    </row>
    <row r="211">
      <c r="A211" s="3" t="n">
        <v>209</v>
      </c>
      <c r="B211" s="4" t="n"/>
      <c r="C211" s="5" t="n"/>
      <c r="D211" s="5" t="n"/>
      <c r="E211" s="5" t="n"/>
      <c r="F211" s="20" t="n"/>
      <c r="G211" s="20" t="n"/>
      <c r="H211" s="21">
        <f>IF(AND(F211&lt;&gt;"",G211&lt;&gt;""),G211-F211,"")</f>
        <v/>
      </c>
      <c r="I211" s="6">
        <f>IF(H211&lt;&gt;"",H211*0.70,"")</f>
        <v/>
      </c>
    </row>
    <row r="212">
      <c r="A212" s="7" t="n">
        <v>210</v>
      </c>
      <c r="B212" s="8" t="n"/>
      <c r="C212" s="9" t="n"/>
      <c r="D212" s="9" t="n"/>
      <c r="E212" s="9" t="n"/>
      <c r="F212" s="22" t="n"/>
      <c r="G212" s="22" t="n"/>
      <c r="H212" s="23">
        <f>IF(AND(F212&lt;&gt;"",G212&lt;&gt;""),G212-F212,"")</f>
        <v/>
      </c>
      <c r="I212" s="10">
        <f>IF(H212&lt;&gt;"",H212*0.70,"")</f>
        <v/>
      </c>
    </row>
    <row r="213">
      <c r="A213" s="3" t="n">
        <v>211</v>
      </c>
      <c r="B213" s="4" t="n"/>
      <c r="C213" s="5" t="n"/>
      <c r="D213" s="5" t="n"/>
      <c r="E213" s="5" t="n"/>
      <c r="F213" s="20" t="n"/>
      <c r="G213" s="20" t="n"/>
      <c r="H213" s="21">
        <f>IF(AND(F213&lt;&gt;"",G213&lt;&gt;""),G213-F213,"")</f>
        <v/>
      </c>
      <c r="I213" s="6">
        <f>IF(H213&lt;&gt;"",H213*0.70,"")</f>
        <v/>
      </c>
    </row>
    <row r="214">
      <c r="A214" s="7" t="n">
        <v>212</v>
      </c>
      <c r="B214" s="8" t="n"/>
      <c r="C214" s="9" t="n"/>
      <c r="D214" s="9" t="n"/>
      <c r="E214" s="9" t="n"/>
      <c r="F214" s="22" t="n"/>
      <c r="G214" s="22" t="n"/>
      <c r="H214" s="23">
        <f>IF(AND(F214&lt;&gt;"",G214&lt;&gt;""),G214-F214,"")</f>
        <v/>
      </c>
      <c r="I214" s="10">
        <f>IF(H214&lt;&gt;"",H214*0.70,"")</f>
        <v/>
      </c>
    </row>
    <row r="215">
      <c r="A215" s="3" t="n">
        <v>213</v>
      </c>
      <c r="B215" s="4" t="n"/>
      <c r="C215" s="5" t="n"/>
      <c r="D215" s="5" t="n"/>
      <c r="E215" s="5" t="n"/>
      <c r="F215" s="20" t="n"/>
      <c r="G215" s="20" t="n"/>
      <c r="H215" s="21">
        <f>IF(AND(F215&lt;&gt;"",G215&lt;&gt;""),G215-F215,"")</f>
        <v/>
      </c>
      <c r="I215" s="6">
        <f>IF(H215&lt;&gt;"",H215*0.70,"")</f>
        <v/>
      </c>
    </row>
    <row r="216">
      <c r="A216" s="7" t="n">
        <v>214</v>
      </c>
      <c r="B216" s="8" t="n"/>
      <c r="C216" s="9" t="n"/>
      <c r="D216" s="9" t="n"/>
      <c r="E216" s="9" t="n"/>
      <c r="F216" s="22" t="n"/>
      <c r="G216" s="22" t="n"/>
      <c r="H216" s="23">
        <f>IF(AND(F216&lt;&gt;"",G216&lt;&gt;""),G216-F216,"")</f>
        <v/>
      </c>
      <c r="I216" s="10">
        <f>IF(H216&lt;&gt;"",H216*0.70,"")</f>
        <v/>
      </c>
    </row>
    <row r="217">
      <c r="A217" s="3" t="n">
        <v>215</v>
      </c>
      <c r="B217" s="4" t="n"/>
      <c r="C217" s="5" t="n"/>
      <c r="D217" s="5" t="n"/>
      <c r="E217" s="5" t="n"/>
      <c r="F217" s="20" t="n"/>
      <c r="G217" s="20" t="n"/>
      <c r="H217" s="21">
        <f>IF(AND(F217&lt;&gt;"",G217&lt;&gt;""),G217-F217,"")</f>
        <v/>
      </c>
      <c r="I217" s="6">
        <f>IF(H217&lt;&gt;"",H217*0.70,"")</f>
        <v/>
      </c>
    </row>
    <row r="218">
      <c r="A218" s="7" t="n">
        <v>216</v>
      </c>
      <c r="B218" s="8" t="n"/>
      <c r="C218" s="9" t="n"/>
      <c r="D218" s="9" t="n"/>
      <c r="E218" s="9" t="n"/>
      <c r="F218" s="22" t="n"/>
      <c r="G218" s="22" t="n"/>
      <c r="H218" s="23">
        <f>IF(AND(F218&lt;&gt;"",G218&lt;&gt;""),G218-F218,"")</f>
        <v/>
      </c>
      <c r="I218" s="10">
        <f>IF(H218&lt;&gt;"",H218*0.70,"")</f>
        <v/>
      </c>
    </row>
    <row r="219">
      <c r="A219" s="3" t="n">
        <v>217</v>
      </c>
      <c r="B219" s="4" t="n"/>
      <c r="C219" s="5" t="n"/>
      <c r="D219" s="5" t="n"/>
      <c r="E219" s="5" t="n"/>
      <c r="F219" s="20" t="n"/>
      <c r="G219" s="20" t="n"/>
      <c r="H219" s="21">
        <f>IF(AND(F219&lt;&gt;"",G219&lt;&gt;""),G219-F219,"")</f>
        <v/>
      </c>
      <c r="I219" s="6">
        <f>IF(H219&lt;&gt;"",H219*0.70,"")</f>
        <v/>
      </c>
    </row>
    <row r="220">
      <c r="A220" s="7" t="n">
        <v>218</v>
      </c>
      <c r="B220" s="8" t="n"/>
      <c r="C220" s="9" t="n"/>
      <c r="D220" s="9" t="n"/>
      <c r="E220" s="9" t="n"/>
      <c r="F220" s="22" t="n"/>
      <c r="G220" s="22" t="n"/>
      <c r="H220" s="23">
        <f>IF(AND(F220&lt;&gt;"",G220&lt;&gt;""),G220-F220,"")</f>
        <v/>
      </c>
      <c r="I220" s="10">
        <f>IF(H220&lt;&gt;"",H220*0.70,"")</f>
        <v/>
      </c>
    </row>
    <row r="221">
      <c r="A221" s="3" t="n">
        <v>219</v>
      </c>
      <c r="B221" s="4" t="n"/>
      <c r="C221" s="5" t="n"/>
      <c r="D221" s="5" t="n"/>
      <c r="E221" s="5" t="n"/>
      <c r="F221" s="20" t="n"/>
      <c r="G221" s="20" t="n"/>
      <c r="H221" s="21">
        <f>IF(AND(F221&lt;&gt;"",G221&lt;&gt;""),G221-F221,"")</f>
        <v/>
      </c>
      <c r="I221" s="6">
        <f>IF(H221&lt;&gt;"",H221*0.70,"")</f>
        <v/>
      </c>
    </row>
    <row r="222">
      <c r="A222" s="7" t="n">
        <v>220</v>
      </c>
      <c r="B222" s="8" t="n"/>
      <c r="C222" s="9" t="n"/>
      <c r="D222" s="9" t="n"/>
      <c r="E222" s="9" t="n"/>
      <c r="F222" s="22" t="n"/>
      <c r="G222" s="22" t="n"/>
      <c r="H222" s="23">
        <f>IF(AND(F222&lt;&gt;"",G222&lt;&gt;""),G222-F222,"")</f>
        <v/>
      </c>
      <c r="I222" s="10">
        <f>IF(H222&lt;&gt;"",H222*0.70,"")</f>
        <v/>
      </c>
    </row>
    <row r="223">
      <c r="A223" s="3" t="n">
        <v>221</v>
      </c>
      <c r="B223" s="4" t="n"/>
      <c r="C223" s="5" t="n"/>
      <c r="D223" s="5" t="n"/>
      <c r="E223" s="5" t="n"/>
      <c r="F223" s="20" t="n"/>
      <c r="G223" s="20" t="n"/>
      <c r="H223" s="21">
        <f>IF(AND(F223&lt;&gt;"",G223&lt;&gt;""),G223-F223,"")</f>
        <v/>
      </c>
      <c r="I223" s="6">
        <f>IF(H223&lt;&gt;"",H223*0.70,"")</f>
        <v/>
      </c>
    </row>
    <row r="224">
      <c r="A224" s="7" t="n">
        <v>222</v>
      </c>
      <c r="B224" s="8" t="n"/>
      <c r="C224" s="9" t="n"/>
      <c r="D224" s="9" t="n"/>
      <c r="E224" s="9" t="n"/>
      <c r="F224" s="22" t="n"/>
      <c r="G224" s="22" t="n"/>
      <c r="H224" s="23">
        <f>IF(AND(F224&lt;&gt;"",G224&lt;&gt;""),G224-F224,"")</f>
        <v/>
      </c>
      <c r="I224" s="10">
        <f>IF(H224&lt;&gt;"",H224*0.70,"")</f>
        <v/>
      </c>
    </row>
    <row r="225">
      <c r="A225" s="3" t="n">
        <v>223</v>
      </c>
      <c r="B225" s="4" t="n"/>
      <c r="C225" s="5" t="n"/>
      <c r="D225" s="5" t="n"/>
      <c r="E225" s="5" t="n"/>
      <c r="F225" s="20" t="n"/>
      <c r="G225" s="20" t="n"/>
      <c r="H225" s="21">
        <f>IF(AND(F225&lt;&gt;"",G225&lt;&gt;""),G225-F225,"")</f>
        <v/>
      </c>
      <c r="I225" s="6">
        <f>IF(H225&lt;&gt;"",H225*0.70,"")</f>
        <v/>
      </c>
    </row>
    <row r="226">
      <c r="A226" s="7" t="n">
        <v>224</v>
      </c>
      <c r="B226" s="8" t="n"/>
      <c r="C226" s="9" t="n"/>
      <c r="D226" s="9" t="n"/>
      <c r="E226" s="9" t="n"/>
      <c r="F226" s="22" t="n"/>
      <c r="G226" s="22" t="n"/>
      <c r="H226" s="23">
        <f>IF(AND(F226&lt;&gt;"",G226&lt;&gt;""),G226-F226,"")</f>
        <v/>
      </c>
      <c r="I226" s="10">
        <f>IF(H226&lt;&gt;"",H226*0.70,"")</f>
        <v/>
      </c>
    </row>
    <row r="227">
      <c r="A227" s="3" t="n">
        <v>225</v>
      </c>
      <c r="B227" s="4" t="n"/>
      <c r="C227" s="5" t="n"/>
      <c r="D227" s="5" t="n"/>
      <c r="E227" s="5" t="n"/>
      <c r="F227" s="20" t="n"/>
      <c r="G227" s="20" t="n"/>
      <c r="H227" s="21">
        <f>IF(AND(F227&lt;&gt;"",G227&lt;&gt;""),G227-F227,"")</f>
        <v/>
      </c>
      <c r="I227" s="6">
        <f>IF(H227&lt;&gt;"",H227*0.70,"")</f>
        <v/>
      </c>
    </row>
    <row r="228">
      <c r="A228" s="7" t="n">
        <v>226</v>
      </c>
      <c r="B228" s="8" t="n"/>
      <c r="C228" s="9" t="n"/>
      <c r="D228" s="9" t="n"/>
      <c r="E228" s="9" t="n"/>
      <c r="F228" s="22" t="n"/>
      <c r="G228" s="22" t="n"/>
      <c r="H228" s="23">
        <f>IF(AND(F228&lt;&gt;"",G228&lt;&gt;""),G228-F228,"")</f>
        <v/>
      </c>
      <c r="I228" s="10">
        <f>IF(H228&lt;&gt;"",H228*0.70,"")</f>
        <v/>
      </c>
    </row>
    <row r="229">
      <c r="A229" s="3" t="n">
        <v>227</v>
      </c>
      <c r="B229" s="4" t="n"/>
      <c r="C229" s="5" t="n"/>
      <c r="D229" s="5" t="n"/>
      <c r="E229" s="5" t="n"/>
      <c r="F229" s="20" t="n"/>
      <c r="G229" s="20" t="n"/>
      <c r="H229" s="21">
        <f>IF(AND(F229&lt;&gt;"",G229&lt;&gt;""),G229-F229,"")</f>
        <v/>
      </c>
      <c r="I229" s="6">
        <f>IF(H229&lt;&gt;"",H229*0.70,"")</f>
        <v/>
      </c>
    </row>
    <row r="230">
      <c r="A230" s="7" t="n">
        <v>228</v>
      </c>
      <c r="B230" s="8" t="n"/>
      <c r="C230" s="9" t="n"/>
      <c r="D230" s="9" t="n"/>
      <c r="E230" s="9" t="n"/>
      <c r="F230" s="22" t="n"/>
      <c r="G230" s="22" t="n"/>
      <c r="H230" s="23">
        <f>IF(AND(F230&lt;&gt;"",G230&lt;&gt;""),G230-F230,"")</f>
        <v/>
      </c>
      <c r="I230" s="10">
        <f>IF(H230&lt;&gt;"",H230*0.70,"")</f>
        <v/>
      </c>
    </row>
    <row r="231">
      <c r="A231" s="3" t="n">
        <v>229</v>
      </c>
      <c r="B231" s="4" t="n"/>
      <c r="C231" s="5" t="n"/>
      <c r="D231" s="5" t="n"/>
      <c r="E231" s="5" t="n"/>
      <c r="F231" s="20" t="n"/>
      <c r="G231" s="20" t="n"/>
      <c r="H231" s="21">
        <f>IF(AND(F231&lt;&gt;"",G231&lt;&gt;""),G231-F231,"")</f>
        <v/>
      </c>
      <c r="I231" s="6">
        <f>IF(H231&lt;&gt;"",H231*0.70,"")</f>
        <v/>
      </c>
    </row>
    <row r="232">
      <c r="A232" s="7" t="n">
        <v>230</v>
      </c>
      <c r="B232" s="8" t="n"/>
      <c r="C232" s="9" t="n"/>
      <c r="D232" s="9" t="n"/>
      <c r="E232" s="9" t="n"/>
      <c r="F232" s="22" t="n"/>
      <c r="G232" s="22" t="n"/>
      <c r="H232" s="23">
        <f>IF(AND(F232&lt;&gt;"",G232&lt;&gt;""),G232-F232,"")</f>
        <v/>
      </c>
      <c r="I232" s="10">
        <f>IF(H232&lt;&gt;"",H232*0.70,"")</f>
        <v/>
      </c>
    </row>
    <row r="233">
      <c r="A233" s="3" t="n">
        <v>231</v>
      </c>
      <c r="B233" s="4" t="n"/>
      <c r="C233" s="5" t="n"/>
      <c r="D233" s="5" t="n"/>
      <c r="E233" s="5" t="n"/>
      <c r="F233" s="20" t="n"/>
      <c r="G233" s="20" t="n"/>
      <c r="H233" s="21">
        <f>IF(AND(F233&lt;&gt;"",G233&lt;&gt;""),G233-F233,"")</f>
        <v/>
      </c>
      <c r="I233" s="6">
        <f>IF(H233&lt;&gt;"",H233*0.70,"")</f>
        <v/>
      </c>
    </row>
    <row r="234">
      <c r="A234" s="7" t="n">
        <v>232</v>
      </c>
      <c r="B234" s="8" t="n"/>
      <c r="C234" s="9" t="n"/>
      <c r="D234" s="9" t="n"/>
      <c r="E234" s="9" t="n"/>
      <c r="F234" s="22" t="n"/>
      <c r="G234" s="22" t="n"/>
      <c r="H234" s="23">
        <f>IF(AND(F234&lt;&gt;"",G234&lt;&gt;""),G234-F234,"")</f>
        <v/>
      </c>
      <c r="I234" s="10">
        <f>IF(H234&lt;&gt;"",H234*0.70,"")</f>
        <v/>
      </c>
    </row>
    <row r="235">
      <c r="A235" s="3" t="n">
        <v>233</v>
      </c>
      <c r="B235" s="4" t="n"/>
      <c r="C235" s="5" t="n"/>
      <c r="D235" s="5" t="n"/>
      <c r="E235" s="5" t="n"/>
      <c r="F235" s="20" t="n"/>
      <c r="G235" s="20" t="n"/>
      <c r="H235" s="21">
        <f>IF(AND(F235&lt;&gt;"",G235&lt;&gt;""),G235-F235,"")</f>
        <v/>
      </c>
      <c r="I235" s="6">
        <f>IF(H235&lt;&gt;"",H235*0.70,"")</f>
        <v/>
      </c>
    </row>
    <row r="236">
      <c r="A236" s="7" t="n">
        <v>234</v>
      </c>
      <c r="B236" s="8" t="n"/>
      <c r="C236" s="9" t="n"/>
      <c r="D236" s="9" t="n"/>
      <c r="E236" s="9" t="n"/>
      <c r="F236" s="22" t="n"/>
      <c r="G236" s="22" t="n"/>
      <c r="H236" s="23">
        <f>IF(AND(F236&lt;&gt;"",G236&lt;&gt;""),G236-F236,"")</f>
        <v/>
      </c>
      <c r="I236" s="10">
        <f>IF(H236&lt;&gt;"",H236*0.70,"")</f>
        <v/>
      </c>
    </row>
    <row r="237">
      <c r="A237" s="3" t="n">
        <v>235</v>
      </c>
      <c r="B237" s="4" t="n"/>
      <c r="C237" s="5" t="n"/>
      <c r="D237" s="5" t="n"/>
      <c r="E237" s="5" t="n"/>
      <c r="F237" s="20" t="n"/>
      <c r="G237" s="20" t="n"/>
      <c r="H237" s="21">
        <f>IF(AND(F237&lt;&gt;"",G237&lt;&gt;""),G237-F237,"")</f>
        <v/>
      </c>
      <c r="I237" s="6">
        <f>IF(H237&lt;&gt;"",H237*0.70,"")</f>
        <v/>
      </c>
    </row>
    <row r="238">
      <c r="A238" s="7" t="n">
        <v>236</v>
      </c>
      <c r="B238" s="8" t="n"/>
      <c r="C238" s="9" t="n"/>
      <c r="D238" s="9" t="n"/>
      <c r="E238" s="9" t="n"/>
      <c r="F238" s="22" t="n"/>
      <c r="G238" s="22" t="n"/>
      <c r="H238" s="23">
        <f>IF(AND(F238&lt;&gt;"",G238&lt;&gt;""),G238-F238,"")</f>
        <v/>
      </c>
      <c r="I238" s="10">
        <f>IF(H238&lt;&gt;"",H238*0.70,"")</f>
        <v/>
      </c>
    </row>
    <row r="239">
      <c r="A239" s="3" t="n">
        <v>237</v>
      </c>
      <c r="B239" s="4" t="n"/>
      <c r="C239" s="5" t="n"/>
      <c r="D239" s="5" t="n"/>
      <c r="E239" s="5" t="n"/>
      <c r="F239" s="20" t="n"/>
      <c r="G239" s="20" t="n"/>
      <c r="H239" s="21">
        <f>IF(AND(F239&lt;&gt;"",G239&lt;&gt;""),G239-F239,"")</f>
        <v/>
      </c>
      <c r="I239" s="6">
        <f>IF(H239&lt;&gt;"",H239*0.70,"")</f>
        <v/>
      </c>
    </row>
    <row r="240">
      <c r="A240" s="7" t="n">
        <v>238</v>
      </c>
      <c r="B240" s="8" t="n"/>
      <c r="C240" s="9" t="n"/>
      <c r="D240" s="9" t="n"/>
      <c r="E240" s="9" t="n"/>
      <c r="F240" s="22" t="n"/>
      <c r="G240" s="22" t="n"/>
      <c r="H240" s="23">
        <f>IF(AND(F240&lt;&gt;"",G240&lt;&gt;""),G240-F240,"")</f>
        <v/>
      </c>
      <c r="I240" s="10">
        <f>IF(H240&lt;&gt;"",H240*0.70,"")</f>
        <v/>
      </c>
    </row>
    <row r="241">
      <c r="A241" s="3" t="n">
        <v>239</v>
      </c>
      <c r="B241" s="4" t="n"/>
      <c r="C241" s="5" t="n"/>
      <c r="D241" s="5" t="n"/>
      <c r="E241" s="5" t="n"/>
      <c r="F241" s="20" t="n"/>
      <c r="G241" s="20" t="n"/>
      <c r="H241" s="21">
        <f>IF(AND(F241&lt;&gt;"",G241&lt;&gt;""),G241-F241,"")</f>
        <v/>
      </c>
      <c r="I241" s="6">
        <f>IF(H241&lt;&gt;"",H241*0.70,"")</f>
        <v/>
      </c>
    </row>
    <row r="242">
      <c r="A242" s="7" t="n">
        <v>240</v>
      </c>
      <c r="B242" s="8" t="n"/>
      <c r="C242" s="9" t="n"/>
      <c r="D242" s="9" t="n"/>
      <c r="E242" s="9" t="n"/>
      <c r="F242" s="22" t="n"/>
      <c r="G242" s="22" t="n"/>
      <c r="H242" s="23">
        <f>IF(AND(F242&lt;&gt;"",G242&lt;&gt;""),G242-F242,"")</f>
        <v/>
      </c>
      <c r="I242" s="10">
        <f>IF(H242&lt;&gt;"",H242*0.70,"")</f>
        <v/>
      </c>
    </row>
    <row r="243">
      <c r="A243" s="3" t="n">
        <v>241</v>
      </c>
      <c r="B243" s="4" t="n"/>
      <c r="C243" s="5" t="n"/>
      <c r="D243" s="5" t="n"/>
      <c r="E243" s="5" t="n"/>
      <c r="F243" s="20" t="n"/>
      <c r="G243" s="20" t="n"/>
      <c r="H243" s="21">
        <f>IF(AND(F243&lt;&gt;"",G243&lt;&gt;""),G243-F243,"")</f>
        <v/>
      </c>
      <c r="I243" s="6">
        <f>IF(H243&lt;&gt;"",H243*0.70,"")</f>
        <v/>
      </c>
    </row>
    <row r="244">
      <c r="A244" s="7" t="n">
        <v>242</v>
      </c>
      <c r="B244" s="8" t="n"/>
      <c r="C244" s="9" t="n"/>
      <c r="D244" s="9" t="n"/>
      <c r="E244" s="9" t="n"/>
      <c r="F244" s="22" t="n"/>
      <c r="G244" s="22" t="n"/>
      <c r="H244" s="23">
        <f>IF(AND(F244&lt;&gt;"",G244&lt;&gt;""),G244-F244,"")</f>
        <v/>
      </c>
      <c r="I244" s="10">
        <f>IF(H244&lt;&gt;"",H244*0.70,"")</f>
        <v/>
      </c>
    </row>
    <row r="245">
      <c r="A245" s="3" t="n">
        <v>243</v>
      </c>
      <c r="B245" s="4" t="n"/>
      <c r="C245" s="5" t="n"/>
      <c r="D245" s="5" t="n"/>
      <c r="E245" s="5" t="n"/>
      <c r="F245" s="20" t="n"/>
      <c r="G245" s="20" t="n"/>
      <c r="H245" s="21">
        <f>IF(AND(F245&lt;&gt;"",G245&lt;&gt;""),G245-F245,"")</f>
        <v/>
      </c>
      <c r="I245" s="6">
        <f>IF(H245&lt;&gt;"",H245*0.70,"")</f>
        <v/>
      </c>
    </row>
    <row r="246">
      <c r="A246" s="7" t="n">
        <v>244</v>
      </c>
      <c r="B246" s="8" t="n"/>
      <c r="C246" s="9" t="n"/>
      <c r="D246" s="9" t="n"/>
      <c r="E246" s="9" t="n"/>
      <c r="F246" s="22" t="n"/>
      <c r="G246" s="22" t="n"/>
      <c r="H246" s="23">
        <f>IF(AND(F246&lt;&gt;"",G246&lt;&gt;""),G246-F246,"")</f>
        <v/>
      </c>
      <c r="I246" s="10">
        <f>IF(H246&lt;&gt;"",H246*0.70,"")</f>
        <v/>
      </c>
    </row>
    <row r="247">
      <c r="A247" s="3" t="n">
        <v>245</v>
      </c>
      <c r="B247" s="4" t="n"/>
      <c r="C247" s="5" t="n"/>
      <c r="D247" s="5" t="n"/>
      <c r="E247" s="5" t="n"/>
      <c r="F247" s="20" t="n"/>
      <c r="G247" s="20" t="n"/>
      <c r="H247" s="21">
        <f>IF(AND(F247&lt;&gt;"",G247&lt;&gt;""),G247-F247,"")</f>
        <v/>
      </c>
      <c r="I247" s="6">
        <f>IF(H247&lt;&gt;"",H247*0.70,"")</f>
        <v/>
      </c>
    </row>
    <row r="248">
      <c r="A248" s="7" t="n">
        <v>246</v>
      </c>
      <c r="B248" s="8" t="n"/>
      <c r="C248" s="9" t="n"/>
      <c r="D248" s="9" t="n"/>
      <c r="E248" s="9" t="n"/>
      <c r="F248" s="22" t="n"/>
      <c r="G248" s="22" t="n"/>
      <c r="H248" s="23">
        <f>IF(AND(F248&lt;&gt;"",G248&lt;&gt;""),G248-F248,"")</f>
        <v/>
      </c>
      <c r="I248" s="10">
        <f>IF(H248&lt;&gt;"",H248*0.70,"")</f>
        <v/>
      </c>
    </row>
    <row r="249">
      <c r="A249" s="3" t="n">
        <v>247</v>
      </c>
      <c r="B249" s="4" t="n"/>
      <c r="C249" s="5" t="n"/>
      <c r="D249" s="5" t="n"/>
      <c r="E249" s="5" t="n"/>
      <c r="F249" s="20" t="n"/>
      <c r="G249" s="20" t="n"/>
      <c r="H249" s="21">
        <f>IF(AND(F249&lt;&gt;"",G249&lt;&gt;""),G249-F249,"")</f>
        <v/>
      </c>
      <c r="I249" s="6">
        <f>IF(H249&lt;&gt;"",H249*0.70,"")</f>
        <v/>
      </c>
    </row>
    <row r="250">
      <c r="A250" s="7" t="n">
        <v>248</v>
      </c>
      <c r="B250" s="8" t="n"/>
      <c r="C250" s="9" t="n"/>
      <c r="D250" s="9" t="n"/>
      <c r="E250" s="9" t="n"/>
      <c r="F250" s="22" t="n"/>
      <c r="G250" s="22" t="n"/>
      <c r="H250" s="23">
        <f>IF(AND(F250&lt;&gt;"",G250&lt;&gt;""),G250-F250,"")</f>
        <v/>
      </c>
      <c r="I250" s="10">
        <f>IF(H250&lt;&gt;"",H250*0.70,"")</f>
        <v/>
      </c>
    </row>
    <row r="251">
      <c r="A251" s="3" t="n">
        <v>249</v>
      </c>
      <c r="B251" s="4" t="n"/>
      <c r="C251" s="5" t="n"/>
      <c r="D251" s="5" t="n"/>
      <c r="E251" s="5" t="n"/>
      <c r="F251" s="20" t="n"/>
      <c r="G251" s="20" t="n"/>
      <c r="H251" s="21">
        <f>IF(AND(F251&lt;&gt;"",G251&lt;&gt;""),G251-F251,"")</f>
        <v/>
      </c>
      <c r="I251" s="6">
        <f>IF(H251&lt;&gt;"",H251*0.70,"")</f>
        <v/>
      </c>
    </row>
    <row r="252">
      <c r="A252" s="7" t="n">
        <v>250</v>
      </c>
      <c r="B252" s="8" t="n"/>
      <c r="C252" s="9" t="n"/>
      <c r="D252" s="9" t="n"/>
      <c r="E252" s="9" t="n"/>
      <c r="F252" s="22" t="n"/>
      <c r="G252" s="22" t="n"/>
      <c r="H252" s="23">
        <f>IF(AND(F252&lt;&gt;"",G252&lt;&gt;""),G252-F252,"")</f>
        <v/>
      </c>
      <c r="I252" s="10">
        <f>IF(H252&lt;&gt;"",H252*0.70,"")</f>
        <v/>
      </c>
    </row>
    <row r="253">
      <c r="A253" s="3" t="n">
        <v>251</v>
      </c>
      <c r="B253" s="4" t="n"/>
      <c r="C253" s="5" t="n"/>
      <c r="D253" s="5" t="n"/>
      <c r="E253" s="5" t="n"/>
      <c r="F253" s="20" t="n"/>
      <c r="G253" s="20" t="n"/>
      <c r="H253" s="21">
        <f>IF(AND(F253&lt;&gt;"",G253&lt;&gt;""),G253-F253,"")</f>
        <v/>
      </c>
      <c r="I253" s="6">
        <f>IF(H253&lt;&gt;"",H253*0.70,"")</f>
        <v/>
      </c>
    </row>
    <row r="254">
      <c r="A254" s="7" t="n">
        <v>252</v>
      </c>
      <c r="B254" s="8" t="n"/>
      <c r="C254" s="9" t="n"/>
      <c r="D254" s="9" t="n"/>
      <c r="E254" s="9" t="n"/>
      <c r="F254" s="22" t="n"/>
      <c r="G254" s="22" t="n"/>
      <c r="H254" s="23">
        <f>IF(AND(F254&lt;&gt;"",G254&lt;&gt;""),G254-F254,"")</f>
        <v/>
      </c>
      <c r="I254" s="10">
        <f>IF(H254&lt;&gt;"",H254*0.70,"")</f>
        <v/>
      </c>
    </row>
    <row r="255">
      <c r="A255" s="3" t="n">
        <v>253</v>
      </c>
      <c r="B255" s="4" t="n"/>
      <c r="C255" s="5" t="n"/>
      <c r="D255" s="5" t="n"/>
      <c r="E255" s="5" t="n"/>
      <c r="F255" s="20" t="n"/>
      <c r="G255" s="20" t="n"/>
      <c r="H255" s="21">
        <f>IF(AND(F255&lt;&gt;"",G255&lt;&gt;""),G255-F255,"")</f>
        <v/>
      </c>
      <c r="I255" s="6">
        <f>IF(H255&lt;&gt;"",H255*0.70,"")</f>
        <v/>
      </c>
    </row>
    <row r="256">
      <c r="A256" s="7" t="n">
        <v>254</v>
      </c>
      <c r="B256" s="8" t="n"/>
      <c r="C256" s="9" t="n"/>
      <c r="D256" s="9" t="n"/>
      <c r="E256" s="9" t="n"/>
      <c r="F256" s="22" t="n"/>
      <c r="G256" s="22" t="n"/>
      <c r="H256" s="23">
        <f>IF(AND(F256&lt;&gt;"",G256&lt;&gt;""),G256-F256,"")</f>
        <v/>
      </c>
      <c r="I256" s="10">
        <f>IF(H256&lt;&gt;"",H256*0.70,"")</f>
        <v/>
      </c>
    </row>
    <row r="257">
      <c r="A257" s="3" t="n">
        <v>255</v>
      </c>
      <c r="B257" s="4" t="n"/>
      <c r="C257" s="5" t="n"/>
      <c r="D257" s="5" t="n"/>
      <c r="E257" s="5" t="n"/>
      <c r="F257" s="20" t="n"/>
      <c r="G257" s="20" t="n"/>
      <c r="H257" s="21">
        <f>IF(AND(F257&lt;&gt;"",G257&lt;&gt;""),G257-F257,"")</f>
        <v/>
      </c>
      <c r="I257" s="6">
        <f>IF(H257&lt;&gt;"",H257*0.70,"")</f>
        <v/>
      </c>
    </row>
    <row r="258">
      <c r="A258" s="7" t="n">
        <v>256</v>
      </c>
      <c r="B258" s="8" t="n"/>
      <c r="C258" s="9" t="n"/>
      <c r="D258" s="9" t="n"/>
      <c r="E258" s="9" t="n"/>
      <c r="F258" s="22" t="n"/>
      <c r="G258" s="22" t="n"/>
      <c r="H258" s="23">
        <f>IF(AND(F258&lt;&gt;"",G258&lt;&gt;""),G258-F258,"")</f>
        <v/>
      </c>
      <c r="I258" s="10">
        <f>IF(H258&lt;&gt;"",H258*0.70,"")</f>
        <v/>
      </c>
    </row>
    <row r="259">
      <c r="A259" s="3" t="n">
        <v>257</v>
      </c>
      <c r="B259" s="4" t="n"/>
      <c r="C259" s="5" t="n"/>
      <c r="D259" s="5" t="n"/>
      <c r="E259" s="5" t="n"/>
      <c r="F259" s="20" t="n"/>
      <c r="G259" s="20" t="n"/>
      <c r="H259" s="21">
        <f>IF(AND(F259&lt;&gt;"",G259&lt;&gt;""),G259-F259,"")</f>
        <v/>
      </c>
      <c r="I259" s="6">
        <f>IF(H259&lt;&gt;"",H259*0.70,"")</f>
        <v/>
      </c>
    </row>
    <row r="260">
      <c r="A260" s="7" t="n">
        <v>258</v>
      </c>
      <c r="B260" s="8" t="n"/>
      <c r="C260" s="9" t="n"/>
      <c r="D260" s="9" t="n"/>
      <c r="E260" s="9" t="n"/>
      <c r="F260" s="22" t="n"/>
      <c r="G260" s="22" t="n"/>
      <c r="H260" s="23">
        <f>IF(AND(F260&lt;&gt;"",G260&lt;&gt;""),G260-F260,"")</f>
        <v/>
      </c>
      <c r="I260" s="10">
        <f>IF(H260&lt;&gt;"",H260*0.70,"")</f>
        <v/>
      </c>
    </row>
    <row r="261">
      <c r="A261" s="3" t="n">
        <v>259</v>
      </c>
      <c r="B261" s="4" t="n"/>
      <c r="C261" s="5" t="n"/>
      <c r="D261" s="5" t="n"/>
      <c r="E261" s="5" t="n"/>
      <c r="F261" s="20" t="n"/>
      <c r="G261" s="20" t="n"/>
      <c r="H261" s="21">
        <f>IF(AND(F261&lt;&gt;"",G261&lt;&gt;""),G261-F261,"")</f>
        <v/>
      </c>
      <c r="I261" s="6">
        <f>IF(H261&lt;&gt;"",H261*0.70,"")</f>
        <v/>
      </c>
    </row>
    <row r="262">
      <c r="A262" s="7" t="n">
        <v>260</v>
      </c>
      <c r="B262" s="8" t="n"/>
      <c r="C262" s="9" t="n"/>
      <c r="D262" s="9" t="n"/>
      <c r="E262" s="9" t="n"/>
      <c r="F262" s="22" t="n"/>
      <c r="G262" s="22" t="n"/>
      <c r="H262" s="23">
        <f>IF(AND(F262&lt;&gt;"",G262&lt;&gt;""),G262-F262,"")</f>
        <v/>
      </c>
      <c r="I262" s="10">
        <f>IF(H262&lt;&gt;"",H262*0.70,"")</f>
        <v/>
      </c>
    </row>
    <row r="263">
      <c r="A263" s="3" t="n">
        <v>261</v>
      </c>
      <c r="B263" s="4" t="n"/>
      <c r="C263" s="5" t="n"/>
      <c r="D263" s="5" t="n"/>
      <c r="E263" s="5" t="n"/>
      <c r="F263" s="20" t="n"/>
      <c r="G263" s="20" t="n"/>
      <c r="H263" s="21">
        <f>IF(AND(F263&lt;&gt;"",G263&lt;&gt;""),G263-F263,"")</f>
        <v/>
      </c>
      <c r="I263" s="6">
        <f>IF(H263&lt;&gt;"",H263*0.70,"")</f>
        <v/>
      </c>
    </row>
    <row r="264">
      <c r="A264" s="7" t="n">
        <v>262</v>
      </c>
      <c r="B264" s="8" t="n"/>
      <c r="C264" s="9" t="n"/>
      <c r="D264" s="9" t="n"/>
      <c r="E264" s="9" t="n"/>
      <c r="F264" s="22" t="n"/>
      <c r="G264" s="22" t="n"/>
      <c r="H264" s="23">
        <f>IF(AND(F264&lt;&gt;"",G264&lt;&gt;""),G264-F264,"")</f>
        <v/>
      </c>
      <c r="I264" s="10">
        <f>IF(H264&lt;&gt;"",H264*0.70,"")</f>
        <v/>
      </c>
    </row>
    <row r="265">
      <c r="A265" s="3" t="n">
        <v>263</v>
      </c>
      <c r="B265" s="4" t="n"/>
      <c r="C265" s="5" t="n"/>
      <c r="D265" s="5" t="n"/>
      <c r="E265" s="5" t="n"/>
      <c r="F265" s="20" t="n"/>
      <c r="G265" s="20" t="n"/>
      <c r="H265" s="21">
        <f>IF(AND(F265&lt;&gt;"",G265&lt;&gt;""),G265-F265,"")</f>
        <v/>
      </c>
      <c r="I265" s="6">
        <f>IF(H265&lt;&gt;"",H265*0.70,"")</f>
        <v/>
      </c>
    </row>
    <row r="266">
      <c r="A266" s="7" t="n">
        <v>264</v>
      </c>
      <c r="B266" s="8" t="n"/>
      <c r="C266" s="9" t="n"/>
      <c r="D266" s="9" t="n"/>
      <c r="E266" s="9" t="n"/>
      <c r="F266" s="22" t="n"/>
      <c r="G266" s="22" t="n"/>
      <c r="H266" s="23">
        <f>IF(AND(F266&lt;&gt;"",G266&lt;&gt;""),G266-F266,"")</f>
        <v/>
      </c>
      <c r="I266" s="10">
        <f>IF(H266&lt;&gt;"",H266*0.70,"")</f>
        <v/>
      </c>
    </row>
    <row r="267">
      <c r="A267" s="3" t="n">
        <v>265</v>
      </c>
      <c r="B267" s="4" t="n"/>
      <c r="C267" s="5" t="n"/>
      <c r="D267" s="5" t="n"/>
      <c r="E267" s="5" t="n"/>
      <c r="F267" s="20" t="n"/>
      <c r="G267" s="20" t="n"/>
      <c r="H267" s="21">
        <f>IF(AND(F267&lt;&gt;"",G267&lt;&gt;""),G267-F267,"")</f>
        <v/>
      </c>
      <c r="I267" s="6">
        <f>IF(H267&lt;&gt;"",H267*0.70,"")</f>
        <v/>
      </c>
    </row>
    <row r="268">
      <c r="A268" s="7" t="n">
        <v>266</v>
      </c>
      <c r="B268" s="8" t="n"/>
      <c r="C268" s="9" t="n"/>
      <c r="D268" s="9" t="n"/>
      <c r="E268" s="9" t="n"/>
      <c r="F268" s="22" t="n"/>
      <c r="G268" s="22" t="n"/>
      <c r="H268" s="23">
        <f>IF(AND(F268&lt;&gt;"",G268&lt;&gt;""),G268-F268,"")</f>
        <v/>
      </c>
      <c r="I268" s="10">
        <f>IF(H268&lt;&gt;"",H268*0.70,"")</f>
        <v/>
      </c>
    </row>
    <row r="269">
      <c r="A269" s="3" t="n">
        <v>267</v>
      </c>
      <c r="B269" s="4" t="n"/>
      <c r="C269" s="5" t="n"/>
      <c r="D269" s="5" t="n"/>
      <c r="E269" s="5" t="n"/>
      <c r="F269" s="20" t="n"/>
      <c r="G269" s="20" t="n"/>
      <c r="H269" s="21">
        <f>IF(AND(F269&lt;&gt;"",G269&lt;&gt;""),G269-F269,"")</f>
        <v/>
      </c>
      <c r="I269" s="6">
        <f>IF(H269&lt;&gt;"",H269*0.70,"")</f>
        <v/>
      </c>
    </row>
    <row r="270">
      <c r="A270" s="7" t="n">
        <v>268</v>
      </c>
      <c r="B270" s="8" t="n"/>
      <c r="C270" s="9" t="n"/>
      <c r="D270" s="9" t="n"/>
      <c r="E270" s="9" t="n"/>
      <c r="F270" s="22" t="n"/>
      <c r="G270" s="22" t="n"/>
      <c r="H270" s="23">
        <f>IF(AND(F270&lt;&gt;"",G270&lt;&gt;""),G270-F270,"")</f>
        <v/>
      </c>
      <c r="I270" s="10">
        <f>IF(H270&lt;&gt;"",H270*0.70,"")</f>
        <v/>
      </c>
    </row>
    <row r="271">
      <c r="A271" s="3" t="n">
        <v>269</v>
      </c>
      <c r="B271" s="4" t="n"/>
      <c r="C271" s="5" t="n"/>
      <c r="D271" s="5" t="n"/>
      <c r="E271" s="5" t="n"/>
      <c r="F271" s="20" t="n"/>
      <c r="G271" s="20" t="n"/>
      <c r="H271" s="21">
        <f>IF(AND(F271&lt;&gt;"",G271&lt;&gt;""),G271-F271,"")</f>
        <v/>
      </c>
      <c r="I271" s="6">
        <f>IF(H271&lt;&gt;"",H271*0.70,"")</f>
        <v/>
      </c>
    </row>
    <row r="272">
      <c r="A272" s="7" t="n">
        <v>270</v>
      </c>
      <c r="B272" s="8" t="n"/>
      <c r="C272" s="9" t="n"/>
      <c r="D272" s="9" t="n"/>
      <c r="E272" s="9" t="n"/>
      <c r="F272" s="22" t="n"/>
      <c r="G272" s="22" t="n"/>
      <c r="H272" s="23">
        <f>IF(AND(F272&lt;&gt;"",G272&lt;&gt;""),G272-F272,"")</f>
        <v/>
      </c>
      <c r="I272" s="10">
        <f>IF(H272&lt;&gt;"",H272*0.70,"")</f>
        <v/>
      </c>
    </row>
    <row r="273">
      <c r="A273" s="3" t="n">
        <v>271</v>
      </c>
      <c r="B273" s="4" t="n"/>
      <c r="C273" s="5" t="n"/>
      <c r="D273" s="5" t="n"/>
      <c r="E273" s="5" t="n"/>
      <c r="F273" s="20" t="n"/>
      <c r="G273" s="20" t="n"/>
      <c r="H273" s="21">
        <f>IF(AND(F273&lt;&gt;"",G273&lt;&gt;""),G273-F273,"")</f>
        <v/>
      </c>
      <c r="I273" s="6">
        <f>IF(H273&lt;&gt;"",H273*0.70,"")</f>
        <v/>
      </c>
    </row>
    <row r="274">
      <c r="A274" s="7" t="n">
        <v>272</v>
      </c>
      <c r="B274" s="8" t="n"/>
      <c r="C274" s="9" t="n"/>
      <c r="D274" s="9" t="n"/>
      <c r="E274" s="9" t="n"/>
      <c r="F274" s="22" t="n"/>
      <c r="G274" s="22" t="n"/>
      <c r="H274" s="23">
        <f>IF(AND(F274&lt;&gt;"",G274&lt;&gt;""),G274-F274,"")</f>
        <v/>
      </c>
      <c r="I274" s="10">
        <f>IF(H274&lt;&gt;"",H274*0.70,"")</f>
        <v/>
      </c>
    </row>
    <row r="275">
      <c r="A275" s="3" t="n">
        <v>273</v>
      </c>
      <c r="B275" s="4" t="n"/>
      <c r="C275" s="5" t="n"/>
      <c r="D275" s="5" t="n"/>
      <c r="E275" s="5" t="n"/>
      <c r="F275" s="20" t="n"/>
      <c r="G275" s="20" t="n"/>
      <c r="H275" s="21">
        <f>IF(AND(F275&lt;&gt;"",G275&lt;&gt;""),G275-F275,"")</f>
        <v/>
      </c>
      <c r="I275" s="6">
        <f>IF(H275&lt;&gt;"",H275*0.70,"")</f>
        <v/>
      </c>
    </row>
    <row r="276">
      <c r="A276" s="7" t="n">
        <v>274</v>
      </c>
      <c r="B276" s="8" t="n"/>
      <c r="C276" s="9" t="n"/>
      <c r="D276" s="9" t="n"/>
      <c r="E276" s="9" t="n"/>
      <c r="F276" s="22" t="n"/>
      <c r="G276" s="22" t="n"/>
      <c r="H276" s="23">
        <f>IF(AND(F276&lt;&gt;"",G276&lt;&gt;""),G276-F276,"")</f>
        <v/>
      </c>
      <c r="I276" s="10">
        <f>IF(H276&lt;&gt;"",H276*0.70,"")</f>
        <v/>
      </c>
    </row>
    <row r="277">
      <c r="A277" s="3" t="n">
        <v>275</v>
      </c>
      <c r="B277" s="4" t="n"/>
      <c r="C277" s="5" t="n"/>
      <c r="D277" s="5" t="n"/>
      <c r="E277" s="5" t="n"/>
      <c r="F277" s="20" t="n"/>
      <c r="G277" s="20" t="n"/>
      <c r="H277" s="21">
        <f>IF(AND(F277&lt;&gt;"",G277&lt;&gt;""),G277-F277,"")</f>
        <v/>
      </c>
      <c r="I277" s="6">
        <f>IF(H277&lt;&gt;"",H277*0.70,"")</f>
        <v/>
      </c>
    </row>
    <row r="278">
      <c r="A278" s="7" t="n">
        <v>276</v>
      </c>
      <c r="B278" s="8" t="n"/>
      <c r="C278" s="9" t="n"/>
      <c r="D278" s="9" t="n"/>
      <c r="E278" s="9" t="n"/>
      <c r="F278" s="22" t="n"/>
      <c r="G278" s="22" t="n"/>
      <c r="H278" s="23">
        <f>IF(AND(F278&lt;&gt;"",G278&lt;&gt;""),G278-F278,"")</f>
        <v/>
      </c>
      <c r="I278" s="10">
        <f>IF(H278&lt;&gt;"",H278*0.70,"")</f>
        <v/>
      </c>
    </row>
    <row r="279">
      <c r="A279" s="3" t="n">
        <v>277</v>
      </c>
      <c r="B279" s="4" t="n"/>
      <c r="C279" s="5" t="n"/>
      <c r="D279" s="5" t="n"/>
      <c r="E279" s="5" t="n"/>
      <c r="F279" s="20" t="n"/>
      <c r="G279" s="20" t="n"/>
      <c r="H279" s="21">
        <f>IF(AND(F279&lt;&gt;"",G279&lt;&gt;""),G279-F279,"")</f>
        <v/>
      </c>
      <c r="I279" s="6">
        <f>IF(H279&lt;&gt;"",H279*0.70,"")</f>
        <v/>
      </c>
    </row>
    <row r="280">
      <c r="A280" s="7" t="n">
        <v>278</v>
      </c>
      <c r="B280" s="8" t="n"/>
      <c r="C280" s="9" t="n"/>
      <c r="D280" s="9" t="n"/>
      <c r="E280" s="9" t="n"/>
      <c r="F280" s="22" t="n"/>
      <c r="G280" s="22" t="n"/>
      <c r="H280" s="23">
        <f>IF(AND(F280&lt;&gt;"",G280&lt;&gt;""),G280-F280,"")</f>
        <v/>
      </c>
      <c r="I280" s="10">
        <f>IF(H280&lt;&gt;"",H280*0.70,"")</f>
        <v/>
      </c>
    </row>
    <row r="281">
      <c r="A281" s="3" t="n">
        <v>279</v>
      </c>
      <c r="B281" s="4" t="n"/>
      <c r="C281" s="5" t="n"/>
      <c r="D281" s="5" t="n"/>
      <c r="E281" s="5" t="n"/>
      <c r="F281" s="20" t="n"/>
      <c r="G281" s="20" t="n"/>
      <c r="H281" s="21">
        <f>IF(AND(F281&lt;&gt;"",G281&lt;&gt;""),G281-F281,"")</f>
        <v/>
      </c>
      <c r="I281" s="6">
        <f>IF(H281&lt;&gt;"",H281*0.70,"")</f>
        <v/>
      </c>
    </row>
    <row r="282">
      <c r="A282" s="7" t="n">
        <v>280</v>
      </c>
      <c r="B282" s="8" t="n"/>
      <c r="C282" s="9" t="n"/>
      <c r="D282" s="9" t="n"/>
      <c r="E282" s="9" t="n"/>
      <c r="F282" s="22" t="n"/>
      <c r="G282" s="22" t="n"/>
      <c r="H282" s="23">
        <f>IF(AND(F282&lt;&gt;"",G282&lt;&gt;""),G282-F282,"")</f>
        <v/>
      </c>
      <c r="I282" s="10">
        <f>IF(H282&lt;&gt;"",H282*0.70,"")</f>
        <v/>
      </c>
    </row>
    <row r="283">
      <c r="A283" s="3" t="n">
        <v>281</v>
      </c>
      <c r="B283" s="4" t="n"/>
      <c r="C283" s="5" t="n"/>
      <c r="D283" s="5" t="n"/>
      <c r="E283" s="5" t="n"/>
      <c r="F283" s="20" t="n"/>
      <c r="G283" s="20" t="n"/>
      <c r="H283" s="21">
        <f>IF(AND(F283&lt;&gt;"",G283&lt;&gt;""),G283-F283,"")</f>
        <v/>
      </c>
      <c r="I283" s="6">
        <f>IF(H283&lt;&gt;"",H283*0.70,"")</f>
        <v/>
      </c>
    </row>
    <row r="284">
      <c r="A284" s="7" t="n">
        <v>282</v>
      </c>
      <c r="B284" s="8" t="n"/>
      <c r="C284" s="9" t="n"/>
      <c r="D284" s="9" t="n"/>
      <c r="E284" s="9" t="n"/>
      <c r="F284" s="22" t="n"/>
      <c r="G284" s="22" t="n"/>
      <c r="H284" s="23">
        <f>IF(AND(F284&lt;&gt;"",G284&lt;&gt;""),G284-F284,"")</f>
        <v/>
      </c>
      <c r="I284" s="10">
        <f>IF(H284&lt;&gt;"",H284*0.70,"")</f>
        <v/>
      </c>
    </row>
    <row r="285">
      <c r="A285" s="3" t="n">
        <v>283</v>
      </c>
      <c r="B285" s="4" t="n"/>
      <c r="C285" s="5" t="n"/>
      <c r="D285" s="5" t="n"/>
      <c r="E285" s="5" t="n"/>
      <c r="F285" s="20" t="n"/>
      <c r="G285" s="20" t="n"/>
      <c r="H285" s="21">
        <f>IF(AND(F285&lt;&gt;"",G285&lt;&gt;""),G285-F285,"")</f>
        <v/>
      </c>
      <c r="I285" s="6">
        <f>IF(H285&lt;&gt;"",H285*0.70,"")</f>
        <v/>
      </c>
    </row>
    <row r="286">
      <c r="A286" s="7" t="n">
        <v>284</v>
      </c>
      <c r="B286" s="8" t="n"/>
      <c r="C286" s="9" t="n"/>
      <c r="D286" s="9" t="n"/>
      <c r="E286" s="9" t="n"/>
      <c r="F286" s="22" t="n"/>
      <c r="G286" s="22" t="n"/>
      <c r="H286" s="23">
        <f>IF(AND(F286&lt;&gt;"",G286&lt;&gt;""),G286-F286,"")</f>
        <v/>
      </c>
      <c r="I286" s="10">
        <f>IF(H286&lt;&gt;"",H286*0.70,"")</f>
        <v/>
      </c>
    </row>
    <row r="287">
      <c r="A287" s="3" t="n">
        <v>285</v>
      </c>
      <c r="B287" s="4" t="n"/>
      <c r="C287" s="5" t="n"/>
      <c r="D287" s="5" t="n"/>
      <c r="E287" s="5" t="n"/>
      <c r="F287" s="20" t="n"/>
      <c r="G287" s="20" t="n"/>
      <c r="H287" s="21">
        <f>IF(AND(F287&lt;&gt;"",G287&lt;&gt;""),G287-F287,"")</f>
        <v/>
      </c>
      <c r="I287" s="6">
        <f>IF(H287&lt;&gt;"",H287*0.70,"")</f>
        <v/>
      </c>
    </row>
    <row r="288">
      <c r="A288" s="7" t="n">
        <v>286</v>
      </c>
      <c r="B288" s="8" t="n"/>
      <c r="C288" s="9" t="n"/>
      <c r="D288" s="9" t="n"/>
      <c r="E288" s="9" t="n"/>
      <c r="F288" s="22" t="n"/>
      <c r="G288" s="22" t="n"/>
      <c r="H288" s="23">
        <f>IF(AND(F288&lt;&gt;"",G288&lt;&gt;""),G288-F288,"")</f>
        <v/>
      </c>
      <c r="I288" s="10">
        <f>IF(H288&lt;&gt;"",H288*0.70,"")</f>
        <v/>
      </c>
    </row>
    <row r="289">
      <c r="A289" s="3" t="n">
        <v>287</v>
      </c>
      <c r="B289" s="4" t="n"/>
      <c r="C289" s="5" t="n"/>
      <c r="D289" s="5" t="n"/>
      <c r="E289" s="5" t="n"/>
      <c r="F289" s="20" t="n"/>
      <c r="G289" s="20" t="n"/>
      <c r="H289" s="21">
        <f>IF(AND(F289&lt;&gt;"",G289&lt;&gt;""),G289-F289,"")</f>
        <v/>
      </c>
      <c r="I289" s="6">
        <f>IF(H289&lt;&gt;"",H289*0.70,"")</f>
        <v/>
      </c>
    </row>
    <row r="290">
      <c r="A290" s="7" t="n">
        <v>288</v>
      </c>
      <c r="B290" s="8" t="n"/>
      <c r="C290" s="9" t="n"/>
      <c r="D290" s="9" t="n"/>
      <c r="E290" s="9" t="n"/>
      <c r="F290" s="22" t="n"/>
      <c r="G290" s="22" t="n"/>
      <c r="H290" s="23">
        <f>IF(AND(F290&lt;&gt;"",G290&lt;&gt;""),G290-F290,"")</f>
        <v/>
      </c>
      <c r="I290" s="10">
        <f>IF(H290&lt;&gt;"",H290*0.70,"")</f>
        <v/>
      </c>
    </row>
    <row r="291">
      <c r="A291" s="3" t="n">
        <v>289</v>
      </c>
      <c r="B291" s="4" t="n"/>
      <c r="C291" s="5" t="n"/>
      <c r="D291" s="5" t="n"/>
      <c r="E291" s="5" t="n"/>
      <c r="F291" s="20" t="n"/>
      <c r="G291" s="20" t="n"/>
      <c r="H291" s="21">
        <f>IF(AND(F291&lt;&gt;"",G291&lt;&gt;""),G291-F291,"")</f>
        <v/>
      </c>
      <c r="I291" s="6">
        <f>IF(H291&lt;&gt;"",H291*0.70,"")</f>
        <v/>
      </c>
    </row>
    <row r="292">
      <c r="A292" s="7" t="n">
        <v>290</v>
      </c>
      <c r="B292" s="8" t="n"/>
      <c r="C292" s="9" t="n"/>
      <c r="D292" s="9" t="n"/>
      <c r="E292" s="9" t="n"/>
      <c r="F292" s="22" t="n"/>
      <c r="G292" s="22" t="n"/>
      <c r="H292" s="23">
        <f>IF(AND(F292&lt;&gt;"",G292&lt;&gt;""),G292-F292,"")</f>
        <v/>
      </c>
      <c r="I292" s="10">
        <f>IF(H292&lt;&gt;"",H292*0.70,"")</f>
        <v/>
      </c>
    </row>
    <row r="293">
      <c r="A293" s="3" t="n">
        <v>291</v>
      </c>
      <c r="B293" s="4" t="n"/>
      <c r="C293" s="5" t="n"/>
      <c r="D293" s="5" t="n"/>
      <c r="E293" s="5" t="n"/>
      <c r="F293" s="20" t="n"/>
      <c r="G293" s="20" t="n"/>
      <c r="H293" s="21">
        <f>IF(AND(F293&lt;&gt;"",G293&lt;&gt;""),G293-F293,"")</f>
        <v/>
      </c>
      <c r="I293" s="6">
        <f>IF(H293&lt;&gt;"",H293*0.70,"")</f>
        <v/>
      </c>
    </row>
    <row r="294">
      <c r="A294" s="7" t="n">
        <v>292</v>
      </c>
      <c r="B294" s="8" t="n"/>
      <c r="C294" s="9" t="n"/>
      <c r="D294" s="9" t="n"/>
      <c r="E294" s="9" t="n"/>
      <c r="F294" s="22" t="n"/>
      <c r="G294" s="22" t="n"/>
      <c r="H294" s="23">
        <f>IF(AND(F294&lt;&gt;"",G294&lt;&gt;""),G294-F294,"")</f>
        <v/>
      </c>
      <c r="I294" s="10">
        <f>IF(H294&lt;&gt;"",H294*0.70,"")</f>
        <v/>
      </c>
    </row>
    <row r="295">
      <c r="A295" s="3" t="n">
        <v>293</v>
      </c>
      <c r="B295" s="4" t="n"/>
      <c r="C295" s="5" t="n"/>
      <c r="D295" s="5" t="n"/>
      <c r="E295" s="5" t="n"/>
      <c r="F295" s="20" t="n"/>
      <c r="G295" s="20" t="n"/>
      <c r="H295" s="21">
        <f>IF(AND(F295&lt;&gt;"",G295&lt;&gt;""),G295-F295,"")</f>
        <v/>
      </c>
      <c r="I295" s="6">
        <f>IF(H295&lt;&gt;"",H295*0.70,"")</f>
        <v/>
      </c>
    </row>
    <row r="296">
      <c r="A296" s="7" t="n">
        <v>294</v>
      </c>
      <c r="B296" s="8" t="n"/>
      <c r="C296" s="9" t="n"/>
      <c r="D296" s="9" t="n"/>
      <c r="E296" s="9" t="n"/>
      <c r="F296" s="22" t="n"/>
      <c r="G296" s="22" t="n"/>
      <c r="H296" s="23">
        <f>IF(AND(F296&lt;&gt;"",G296&lt;&gt;""),G296-F296,"")</f>
        <v/>
      </c>
      <c r="I296" s="10">
        <f>IF(H296&lt;&gt;"",H296*0.70,"")</f>
        <v/>
      </c>
    </row>
    <row r="297">
      <c r="A297" s="3" t="n">
        <v>295</v>
      </c>
      <c r="B297" s="4" t="n"/>
      <c r="C297" s="5" t="n"/>
      <c r="D297" s="5" t="n"/>
      <c r="E297" s="5" t="n"/>
      <c r="F297" s="20" t="n"/>
      <c r="G297" s="20" t="n"/>
      <c r="H297" s="21">
        <f>IF(AND(F297&lt;&gt;"",G297&lt;&gt;""),G297-F297,"")</f>
        <v/>
      </c>
      <c r="I297" s="6">
        <f>IF(H297&lt;&gt;"",H297*0.70,"")</f>
        <v/>
      </c>
    </row>
    <row r="298">
      <c r="A298" s="7" t="n">
        <v>296</v>
      </c>
      <c r="B298" s="8" t="n"/>
      <c r="C298" s="9" t="n"/>
      <c r="D298" s="9" t="n"/>
      <c r="E298" s="9" t="n"/>
      <c r="F298" s="22" t="n"/>
      <c r="G298" s="22" t="n"/>
      <c r="H298" s="23">
        <f>IF(AND(F298&lt;&gt;"",G298&lt;&gt;""),G298-F298,"")</f>
        <v/>
      </c>
      <c r="I298" s="10">
        <f>IF(H298&lt;&gt;"",H298*0.70,"")</f>
        <v/>
      </c>
    </row>
    <row r="299">
      <c r="A299" s="3" t="n">
        <v>297</v>
      </c>
      <c r="B299" s="4" t="n"/>
      <c r="C299" s="5" t="n"/>
      <c r="D299" s="5" t="n"/>
      <c r="E299" s="5" t="n"/>
      <c r="F299" s="20" t="n"/>
      <c r="G299" s="20" t="n"/>
      <c r="H299" s="21">
        <f>IF(AND(F299&lt;&gt;"",G299&lt;&gt;""),G299-F299,"")</f>
        <v/>
      </c>
      <c r="I299" s="6">
        <f>IF(H299&lt;&gt;"",H299*0.70,"")</f>
        <v/>
      </c>
    </row>
    <row r="300">
      <c r="A300" s="7" t="n">
        <v>298</v>
      </c>
      <c r="B300" s="8" t="n"/>
      <c r="C300" s="9" t="n"/>
      <c r="D300" s="9" t="n"/>
      <c r="E300" s="9" t="n"/>
      <c r="F300" s="22" t="n"/>
      <c r="G300" s="22" t="n"/>
      <c r="H300" s="23">
        <f>IF(AND(F300&lt;&gt;"",G300&lt;&gt;""),G300-F300,"")</f>
        <v/>
      </c>
      <c r="I300" s="10">
        <f>IF(H300&lt;&gt;"",H300*0.70,"")</f>
        <v/>
      </c>
    </row>
    <row r="301">
      <c r="A301" s="3" t="n">
        <v>299</v>
      </c>
      <c r="B301" s="4" t="n"/>
      <c r="C301" s="5" t="n"/>
      <c r="D301" s="5" t="n"/>
      <c r="E301" s="5" t="n"/>
      <c r="F301" s="20" t="n"/>
      <c r="G301" s="20" t="n"/>
      <c r="H301" s="21">
        <f>IF(AND(F301&lt;&gt;"",G301&lt;&gt;""),G301-F301,"")</f>
        <v/>
      </c>
      <c r="I301" s="6">
        <f>IF(H301&lt;&gt;"",H301*0.70,"")</f>
        <v/>
      </c>
    </row>
    <row r="302">
      <c r="A302" s="7" t="n">
        <v>300</v>
      </c>
      <c r="B302" s="8" t="n"/>
      <c r="C302" s="9" t="n"/>
      <c r="D302" s="9" t="n"/>
      <c r="E302" s="9" t="n"/>
      <c r="F302" s="22" t="n"/>
      <c r="G302" s="22" t="n"/>
      <c r="H302" s="23">
        <f>IF(AND(F302&lt;&gt;"",G302&lt;&gt;""),G302-F302,"")</f>
        <v/>
      </c>
      <c r="I302" s="10">
        <f>IF(H302&lt;&gt;"",H302*0.70,"")</f>
        <v/>
      </c>
    </row>
    <row r="303">
      <c r="G303" s="11" t="inlineStr">
        <is>
          <t>TOTAL</t>
        </is>
      </c>
      <c r="H303" s="24">
        <f>SUM(H3:H302)</f>
        <v/>
      </c>
      <c r="I303" s="19">
        <f>SUM(I3:I302)</f>
        <v/>
      </c>
    </row>
    <row r="305">
      <c r="F305" s="25" t="inlineStr">
        <is>
          <t>IRS Standard Mileage Rate 2026: $0.70/mile</t>
        </is>
      </c>
    </row>
  </sheetData>
  <mergeCells count="2">
    <mergeCell ref="A1:I1"/>
    <mergeCell ref="F305:I305"/>
  </mergeCells>
  <dataValidations count="1">
    <dataValidation sqref="C3:C302" showDropDown="0" showInputMessage="0" showErrorMessage="0" allowBlank="1" promptTitle="Purpose" prompt="Trip purpose" type="list">
      <formula1>"Client Visit,Estimate,Supply Run,Job Site,Equipment Pickup,Bank/Admin,Other"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8" customWidth="1" min="4" max="4"/>
    <col width="14" customWidth="1" min="5" max="5"/>
    <col width="18" customWidth="1" min="6" max="6"/>
    <col width="14" customWidth="1" min="7" max="7"/>
  </cols>
  <sheetData>
    <row r="1" ht="36" customHeight="1">
      <c r="A1" s="1" t="inlineStr">
        <is>
          <t>TOTALGUARD YARD CARE — 2026 MONTHLY EXPENSE SUMMARY</t>
        </is>
      </c>
    </row>
    <row r="2" ht="28" customHeight="1">
      <c r="A2" s="2" t="inlineStr">
        <is>
          <t>Month</t>
        </is>
      </c>
      <c r="B2" s="2" t="inlineStr">
        <is>
          <t>General Expenses</t>
        </is>
      </c>
      <c r="C2" s="2" t="inlineStr">
        <is>
          <t>Gas &amp; Fuel</t>
        </is>
      </c>
      <c r="D2" s="2" t="inlineStr">
        <is>
          <t>Mileage Deduction</t>
        </is>
      </c>
      <c r="E2" s="2" t="inlineStr">
        <is>
          <t>Total Spent</t>
        </is>
      </c>
      <c r="F2" s="2" t="inlineStr">
        <is>
          <t>Total Deductions</t>
        </is>
      </c>
      <c r="G2" s="2" t="inlineStr">
        <is>
          <t>YTD Total</t>
        </is>
      </c>
    </row>
    <row r="3">
      <c r="A3" s="26" t="inlineStr">
        <is>
          <t>January</t>
        </is>
      </c>
      <c r="B3" s="27">
        <f>SUMPRODUCT((MONTH(Expenses!B$3:B$502)=1)*(Expenses!E$3:E$502))</f>
        <v/>
      </c>
      <c r="C3" s="27">
        <f>SUMPRODUCT((MONTH('Gas &amp; Fuel'!B$3:B$202)=1)*('Gas &amp; Fuel'!F$3:F$202))</f>
        <v/>
      </c>
      <c r="D3" s="27">
        <f>SUMPRODUCT((MONTH(Mileage!B$3:B$302)=1)*(Mileage!I$3:I$302))</f>
        <v/>
      </c>
      <c r="E3" s="27">
        <f>B3+C3</f>
        <v/>
      </c>
      <c r="F3" s="27">
        <f>B3+C3+D3</f>
        <v/>
      </c>
      <c r="G3" s="27">
        <f>SUM(E$3:E3)</f>
        <v/>
      </c>
    </row>
    <row r="4">
      <c r="A4" s="28" t="inlineStr">
        <is>
          <t>February</t>
        </is>
      </c>
      <c r="B4" s="29">
        <f>SUMPRODUCT((MONTH(Expenses!B$3:B$502)=2)*(Expenses!E$3:E$502))</f>
        <v/>
      </c>
      <c r="C4" s="29">
        <f>SUMPRODUCT((MONTH('Gas &amp; Fuel'!B$3:B$202)=2)*('Gas &amp; Fuel'!F$3:F$202))</f>
        <v/>
      </c>
      <c r="D4" s="29">
        <f>SUMPRODUCT((MONTH(Mileage!B$3:B$302)=2)*(Mileage!I$3:I$302))</f>
        <v/>
      </c>
      <c r="E4" s="29">
        <f>B4+C4</f>
        <v/>
      </c>
      <c r="F4" s="29">
        <f>B4+C4+D4</f>
        <v/>
      </c>
      <c r="G4" s="29">
        <f>SUM(E$3:E4)</f>
        <v/>
      </c>
    </row>
    <row r="5">
      <c r="A5" s="26" t="inlineStr">
        <is>
          <t>March</t>
        </is>
      </c>
      <c r="B5" s="27">
        <f>SUMPRODUCT((MONTH(Expenses!B$3:B$502)=3)*(Expenses!E$3:E$502))</f>
        <v/>
      </c>
      <c r="C5" s="27">
        <f>SUMPRODUCT((MONTH('Gas &amp; Fuel'!B$3:B$202)=3)*('Gas &amp; Fuel'!F$3:F$202))</f>
        <v/>
      </c>
      <c r="D5" s="27">
        <f>SUMPRODUCT((MONTH(Mileage!B$3:B$302)=3)*(Mileage!I$3:I$302))</f>
        <v/>
      </c>
      <c r="E5" s="27">
        <f>B5+C5</f>
        <v/>
      </c>
      <c r="F5" s="27">
        <f>B5+C5+D5</f>
        <v/>
      </c>
      <c r="G5" s="27">
        <f>SUM(E$3:E5)</f>
        <v/>
      </c>
    </row>
    <row r="6">
      <c r="A6" s="28" t="inlineStr">
        <is>
          <t>April</t>
        </is>
      </c>
      <c r="B6" s="29">
        <f>SUMPRODUCT((MONTH(Expenses!B$3:B$502)=4)*(Expenses!E$3:E$502))</f>
        <v/>
      </c>
      <c r="C6" s="29">
        <f>SUMPRODUCT((MONTH('Gas &amp; Fuel'!B$3:B$202)=4)*('Gas &amp; Fuel'!F$3:F$202))</f>
        <v/>
      </c>
      <c r="D6" s="29">
        <f>SUMPRODUCT((MONTH(Mileage!B$3:B$302)=4)*(Mileage!I$3:I$302))</f>
        <v/>
      </c>
      <c r="E6" s="29">
        <f>B6+C6</f>
        <v/>
      </c>
      <c r="F6" s="29">
        <f>B6+C6+D6</f>
        <v/>
      </c>
      <c r="G6" s="29">
        <f>SUM(E$3:E6)</f>
        <v/>
      </c>
    </row>
    <row r="7">
      <c r="A7" s="26" t="inlineStr">
        <is>
          <t>May</t>
        </is>
      </c>
      <c r="B7" s="27">
        <f>SUMPRODUCT((MONTH(Expenses!B$3:B$502)=5)*(Expenses!E$3:E$502))</f>
        <v/>
      </c>
      <c r="C7" s="27">
        <f>SUMPRODUCT((MONTH('Gas &amp; Fuel'!B$3:B$202)=5)*('Gas &amp; Fuel'!F$3:F$202))</f>
        <v/>
      </c>
      <c r="D7" s="27">
        <f>SUMPRODUCT((MONTH(Mileage!B$3:B$302)=5)*(Mileage!I$3:I$302))</f>
        <v/>
      </c>
      <c r="E7" s="27">
        <f>B7+C7</f>
        <v/>
      </c>
      <c r="F7" s="27">
        <f>B7+C7+D7</f>
        <v/>
      </c>
      <c r="G7" s="27">
        <f>SUM(E$3:E7)</f>
        <v/>
      </c>
    </row>
    <row r="8">
      <c r="A8" s="28" t="inlineStr">
        <is>
          <t>June</t>
        </is>
      </c>
      <c r="B8" s="29">
        <f>SUMPRODUCT((MONTH(Expenses!B$3:B$502)=6)*(Expenses!E$3:E$502))</f>
        <v/>
      </c>
      <c r="C8" s="29">
        <f>SUMPRODUCT((MONTH('Gas &amp; Fuel'!B$3:B$202)=6)*('Gas &amp; Fuel'!F$3:F$202))</f>
        <v/>
      </c>
      <c r="D8" s="29">
        <f>SUMPRODUCT((MONTH(Mileage!B$3:B$302)=6)*(Mileage!I$3:I$302))</f>
        <v/>
      </c>
      <c r="E8" s="29">
        <f>B8+C8</f>
        <v/>
      </c>
      <c r="F8" s="29">
        <f>B8+C8+D8</f>
        <v/>
      </c>
      <c r="G8" s="29">
        <f>SUM(E$3:E8)</f>
        <v/>
      </c>
    </row>
    <row r="9">
      <c r="A9" s="26" t="inlineStr">
        <is>
          <t>July</t>
        </is>
      </c>
      <c r="B9" s="27">
        <f>SUMPRODUCT((MONTH(Expenses!B$3:B$502)=7)*(Expenses!E$3:E$502))</f>
        <v/>
      </c>
      <c r="C9" s="27">
        <f>SUMPRODUCT((MONTH('Gas &amp; Fuel'!B$3:B$202)=7)*('Gas &amp; Fuel'!F$3:F$202))</f>
        <v/>
      </c>
      <c r="D9" s="27">
        <f>SUMPRODUCT((MONTH(Mileage!B$3:B$302)=7)*(Mileage!I$3:I$302))</f>
        <v/>
      </c>
      <c r="E9" s="27">
        <f>B9+C9</f>
        <v/>
      </c>
      <c r="F9" s="27">
        <f>B9+C9+D9</f>
        <v/>
      </c>
      <c r="G9" s="27">
        <f>SUM(E$3:E9)</f>
        <v/>
      </c>
    </row>
    <row r="10">
      <c r="A10" s="28" t="inlineStr">
        <is>
          <t>August</t>
        </is>
      </c>
      <c r="B10" s="29">
        <f>SUMPRODUCT((MONTH(Expenses!B$3:B$502)=8)*(Expenses!E$3:E$502))</f>
        <v/>
      </c>
      <c r="C10" s="29">
        <f>SUMPRODUCT((MONTH('Gas &amp; Fuel'!B$3:B$202)=8)*('Gas &amp; Fuel'!F$3:F$202))</f>
        <v/>
      </c>
      <c r="D10" s="29">
        <f>SUMPRODUCT((MONTH(Mileage!B$3:B$302)=8)*(Mileage!I$3:I$302))</f>
        <v/>
      </c>
      <c r="E10" s="29">
        <f>B10+C10</f>
        <v/>
      </c>
      <c r="F10" s="29">
        <f>B10+C10+D10</f>
        <v/>
      </c>
      <c r="G10" s="29">
        <f>SUM(E$3:E10)</f>
        <v/>
      </c>
    </row>
    <row r="11">
      <c r="A11" s="26" t="inlineStr">
        <is>
          <t>September</t>
        </is>
      </c>
      <c r="B11" s="27">
        <f>SUMPRODUCT((MONTH(Expenses!B$3:B$502)=9)*(Expenses!E$3:E$502))</f>
        <v/>
      </c>
      <c r="C11" s="27">
        <f>SUMPRODUCT((MONTH('Gas &amp; Fuel'!B$3:B$202)=9)*('Gas &amp; Fuel'!F$3:F$202))</f>
        <v/>
      </c>
      <c r="D11" s="27">
        <f>SUMPRODUCT((MONTH(Mileage!B$3:B$302)=9)*(Mileage!I$3:I$302))</f>
        <v/>
      </c>
      <c r="E11" s="27">
        <f>B11+C11</f>
        <v/>
      </c>
      <c r="F11" s="27">
        <f>B11+C11+D11</f>
        <v/>
      </c>
      <c r="G11" s="27">
        <f>SUM(E$3:E11)</f>
        <v/>
      </c>
    </row>
    <row r="12">
      <c r="A12" s="28" t="inlineStr">
        <is>
          <t>October</t>
        </is>
      </c>
      <c r="B12" s="29">
        <f>SUMPRODUCT((MONTH(Expenses!B$3:B$502)=10)*(Expenses!E$3:E$502))</f>
        <v/>
      </c>
      <c r="C12" s="29">
        <f>SUMPRODUCT((MONTH('Gas &amp; Fuel'!B$3:B$202)=10)*('Gas &amp; Fuel'!F$3:F$202))</f>
        <v/>
      </c>
      <c r="D12" s="29">
        <f>SUMPRODUCT((MONTH(Mileage!B$3:B$302)=10)*(Mileage!I$3:I$302))</f>
        <v/>
      </c>
      <c r="E12" s="29">
        <f>B12+C12</f>
        <v/>
      </c>
      <c r="F12" s="29">
        <f>B12+C12+D12</f>
        <v/>
      </c>
      <c r="G12" s="29">
        <f>SUM(E$3:E12)</f>
        <v/>
      </c>
    </row>
    <row r="13">
      <c r="A13" s="26" t="inlineStr">
        <is>
          <t>November</t>
        </is>
      </c>
      <c r="B13" s="27">
        <f>SUMPRODUCT((MONTH(Expenses!B$3:B$502)=11)*(Expenses!E$3:E$502))</f>
        <v/>
      </c>
      <c r="C13" s="27">
        <f>SUMPRODUCT((MONTH('Gas &amp; Fuel'!B$3:B$202)=11)*('Gas &amp; Fuel'!F$3:F$202))</f>
        <v/>
      </c>
      <c r="D13" s="27">
        <f>SUMPRODUCT((MONTH(Mileage!B$3:B$302)=11)*(Mileage!I$3:I$302))</f>
        <v/>
      </c>
      <c r="E13" s="27">
        <f>B13+C13</f>
        <v/>
      </c>
      <c r="F13" s="27">
        <f>B13+C13+D13</f>
        <v/>
      </c>
      <c r="G13" s="27">
        <f>SUM(E$3:E13)</f>
        <v/>
      </c>
    </row>
    <row r="14">
      <c r="A14" s="28" t="inlineStr">
        <is>
          <t>December</t>
        </is>
      </c>
      <c r="B14" s="29">
        <f>SUMPRODUCT((MONTH(Expenses!B$3:B$502)=12)*(Expenses!E$3:E$502))</f>
        <v/>
      </c>
      <c r="C14" s="29">
        <f>SUMPRODUCT((MONTH('Gas &amp; Fuel'!B$3:B$202)=12)*('Gas &amp; Fuel'!F$3:F$202))</f>
        <v/>
      </c>
      <c r="D14" s="29">
        <f>SUMPRODUCT((MONTH(Mileage!B$3:B$302)=12)*(Mileage!I$3:I$302))</f>
        <v/>
      </c>
      <c r="E14" s="29">
        <f>B14+C14</f>
        <v/>
      </c>
      <c r="F14" s="29">
        <f>B14+C14+D14</f>
        <v/>
      </c>
      <c r="G14" s="29">
        <f>SUM(E$3:E14)</f>
        <v/>
      </c>
    </row>
    <row r="15">
      <c r="A15" s="30" t="inlineStr">
        <is>
          <t>ANNUAL TOTAL</t>
        </is>
      </c>
      <c r="B15" s="19">
        <f>SUM(B3:B14)</f>
        <v/>
      </c>
      <c r="C15" s="19">
        <f>SUM(C3:C14)</f>
        <v/>
      </c>
      <c r="D15" s="19">
        <f>SUM(D3:D14)</f>
        <v/>
      </c>
      <c r="E15" s="19">
        <f>SUM(E3:E14)</f>
        <v/>
      </c>
      <c r="F15" s="19">
        <f>SUM(F3:F14)</f>
        <v/>
      </c>
      <c r="G15" s="19">
        <f>SUM(G3:G14)</f>
        <v/>
      </c>
    </row>
    <row r="17">
      <c r="E17" s="31" t="inlineStr">
        <is>
          <t>Estimated Tax Savings (25%)</t>
        </is>
      </c>
      <c r="F17" s="32">
        <f>F15*0.25</f>
        <v/>
      </c>
    </row>
  </sheetData>
  <mergeCells count="1">
    <mergeCell ref="A1:G1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</cols>
  <sheetData>
    <row r="1" ht="36" customHeight="1">
      <c r="A1" s="1" t="inlineStr">
        <is>
          <t>TOTALGUARD YARD CARE — 2026 SCHEDULE C TAX SUMMARY</t>
        </is>
      </c>
    </row>
    <row r="2" ht="28" customHeight="1">
      <c r="A2" s="2" t="inlineStr">
        <is>
          <t>Schedule C Line</t>
        </is>
      </c>
      <c r="B2" s="2" t="inlineStr">
        <is>
          <t>Total Amount</t>
        </is>
      </c>
      <c r="C2" s="2" t="inlineStr">
        <is>
          <t>% of Total</t>
        </is>
      </c>
    </row>
    <row r="3">
      <c r="A3" s="33" t="inlineStr">
        <is>
          <t>Line 8 - Advertising</t>
        </is>
      </c>
      <c r="B3" s="27">
        <f>SUMPRODUCT((Expenses!I$3:I$502="Line 8 - Advertising")*(Expenses!E$3:E$502))</f>
        <v/>
      </c>
      <c r="C3" s="34">
        <f>IF(B$17&gt;0,B3/B$17,0)</f>
        <v/>
      </c>
    </row>
    <row r="4">
      <c r="A4" s="35" t="inlineStr">
        <is>
          <t>Line 10 - Car/Truck Expenses</t>
        </is>
      </c>
      <c r="B4" s="29">
        <f>SUMPRODUCT((Expenses!I$3:I$502="Line 10 - Car/Truck Expenses")*(Expenses!E$3:E$502))</f>
        <v/>
      </c>
      <c r="C4" s="36">
        <f>IF(B$17&gt;0,B4/B$17,0)</f>
        <v/>
      </c>
    </row>
    <row r="5">
      <c r="A5" s="33" t="inlineStr">
        <is>
          <t>Line 15 - Insurance</t>
        </is>
      </c>
      <c r="B5" s="27">
        <f>SUMPRODUCT((Expenses!I$3:I$502="Line 15 - Insurance")*(Expenses!E$3:E$502))</f>
        <v/>
      </c>
      <c r="C5" s="34">
        <f>IF(B$17&gt;0,B5/B$17,0)</f>
        <v/>
      </c>
    </row>
    <row r="6">
      <c r="A6" s="35" t="inlineStr">
        <is>
          <t>Line 17 - Legal/Professional</t>
        </is>
      </c>
      <c r="B6" s="29">
        <f>SUMPRODUCT((Expenses!I$3:I$502="Line 17 - Legal/Professional")*(Expenses!E$3:E$502))</f>
        <v/>
      </c>
      <c r="C6" s="36">
        <f>IF(B$17&gt;0,B6/B$17,0)</f>
        <v/>
      </c>
    </row>
    <row r="7">
      <c r="A7" s="33" t="inlineStr">
        <is>
          <t>Line 18 - Office Expense</t>
        </is>
      </c>
      <c r="B7" s="27">
        <f>SUMPRODUCT((Expenses!I$3:I$502="Line 18 - Office Expense")*(Expenses!E$3:E$502))</f>
        <v/>
      </c>
      <c r="C7" s="34">
        <f>IF(B$17&gt;0,B7/B$17,0)</f>
        <v/>
      </c>
    </row>
    <row r="8">
      <c r="A8" s="35" t="inlineStr">
        <is>
          <t>Line 20a - Rent (Vehicles/Equipment)</t>
        </is>
      </c>
      <c r="B8" s="29">
        <f>SUMPRODUCT((Expenses!I$3:I$502="Line 20a - Rent (Vehicles/Equipment)")*(Expenses!E$3:E$502))</f>
        <v/>
      </c>
      <c r="C8" s="36">
        <f>IF(B$17&gt;0,B8/B$17,0)</f>
        <v/>
      </c>
    </row>
    <row r="9">
      <c r="A9" s="33" t="inlineStr">
        <is>
          <t>Line 22 - Supplies</t>
        </is>
      </c>
      <c r="B9" s="27">
        <f>SUMPRODUCT((Expenses!I$3:I$502="Line 22 - Supplies")*(Expenses!E$3:E$502))</f>
        <v/>
      </c>
      <c r="C9" s="34">
        <f>IF(B$17&gt;0,B9/B$17,0)</f>
        <v/>
      </c>
    </row>
    <row r="10">
      <c r="A10" s="35" t="inlineStr">
        <is>
          <t>Line 24a - Travel</t>
        </is>
      </c>
      <c r="B10" s="29">
        <f>SUMPRODUCT((Expenses!I$3:I$502="Line 24a - Travel")*(Expenses!E$3:E$502))</f>
        <v/>
      </c>
      <c r="C10" s="36">
        <f>IF(B$17&gt;0,B10/B$17,0)</f>
        <v/>
      </c>
    </row>
    <row r="11">
      <c r="A11" s="33" t="inlineStr">
        <is>
          <t>Line 24b - Meals</t>
        </is>
      </c>
      <c r="B11" s="27">
        <f>SUMPRODUCT((Expenses!I$3:I$502="Line 24b - Meals")*(Expenses!E$3:E$502))</f>
        <v/>
      </c>
      <c r="C11" s="34">
        <f>IF(B$17&gt;0,B11/B$17,0)</f>
        <v/>
      </c>
    </row>
    <row r="12">
      <c r="A12" s="35" t="inlineStr">
        <is>
          <t>Line 25 - Utilities</t>
        </is>
      </c>
      <c r="B12" s="29">
        <f>SUMPRODUCT((Expenses!I$3:I$502="Line 25 - Utilities")*(Expenses!E$3:E$502))</f>
        <v/>
      </c>
      <c r="C12" s="36">
        <f>IF(B$17&gt;0,B12/B$17,0)</f>
        <v/>
      </c>
    </row>
    <row r="13">
      <c r="A13" s="33" t="inlineStr">
        <is>
          <t>Line 27a - Other Expenses</t>
        </is>
      </c>
      <c r="B13" s="27">
        <f>SUMPRODUCT((Expenses!I$3:I$502="Line 27a - Other Expenses")*(Expenses!E$3:E$502))</f>
        <v/>
      </c>
      <c r="C13" s="34">
        <f>IF(B$17&gt;0,B13/B$17,0)</f>
        <v/>
      </c>
    </row>
    <row r="14">
      <c r="A14" s="35" t="inlineStr">
        <is>
          <t>Vehicle Mileage Deduction</t>
        </is>
      </c>
      <c r="B14" s="29">
        <f>Mileage!I303</f>
        <v/>
      </c>
      <c r="C14" s="36">
        <f>IF(B$17&gt;0,B14/B$17,0)</f>
        <v/>
      </c>
    </row>
    <row r="15">
      <c r="A15" s="33" t="inlineStr">
        <is>
          <t>Gas &amp; Fuel</t>
        </is>
      </c>
      <c r="B15" s="27">
        <f>'Gas &amp; Fuel'!F203</f>
        <v/>
      </c>
      <c r="C15" s="34">
        <f>IF(B$17&gt;0,B15/B$17,0)</f>
        <v/>
      </c>
    </row>
    <row r="16">
      <c r="A16" s="9" t="n"/>
      <c r="B16" s="9" t="n"/>
      <c r="C16" s="9" t="n"/>
    </row>
    <row r="17">
      <c r="A17" s="30" t="inlineStr">
        <is>
          <t>TOTAL DEDUCTIONS</t>
        </is>
      </c>
      <c r="B17" s="19">
        <f>SUM(B3:B15)</f>
        <v/>
      </c>
      <c r="C17" s="37">
        <f>SUM(C3:C15)</f>
        <v/>
      </c>
    </row>
    <row r="19">
      <c r="A19" s="38" t="inlineStr">
        <is>
          <t>Note: Consult a tax professional. This is for tracking purposes only.</t>
        </is>
      </c>
    </row>
  </sheetData>
  <mergeCells count="2">
    <mergeCell ref="A1:C1"/>
    <mergeCell ref="A19:C19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2026-03-16T04:43:51Z</dcterms:created>
  <dcterms:modified xsi:type="dcterms:W3CDTF">2026-03-16T04:43:53Z</dcterms:modified>
</cp:coreProperties>
</file>