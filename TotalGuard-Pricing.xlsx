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Calculator" sheetId="1" state="visible" r:id="rId1"/>
    <sheet name="Master Pri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Arial"/>
      <b val="1"/>
      <color rgb="004a7c59"/>
      <sz val="20"/>
    </font>
    <font>
      <name val="Arial"/>
      <color rgb="00666666"/>
      <sz val="14"/>
    </font>
    <font>
      <name val="Arial"/>
      <b val="1"/>
      <color rgb="00FFFFFF"/>
      <sz val="14"/>
    </font>
    <font>
      <name val="Arial"/>
      <b val="1"/>
      <color rgb="00333333"/>
      <sz val="13"/>
    </font>
    <font>
      <name val="Arial"/>
      <color rgb="000000FF"/>
      <sz val="14"/>
    </font>
    <font>
      <name val="Arial"/>
      <color rgb="00888888"/>
      <sz val="11"/>
    </font>
    <font>
      <name val="Arial"/>
      <b val="1"/>
      <color rgb="004a7c59"/>
      <sz val="18"/>
    </font>
    <font>
      <name val="Arial"/>
      <i val="1"/>
      <color rgb="00888888"/>
      <sz val="9"/>
    </font>
    <font>
      <name val="Arial"/>
      <i val="1"/>
      <color rgb="00CC0000"/>
      <sz val="11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FFFF0"/>
      </patternFill>
    </fill>
    <fill>
      <patternFill patternType="solid">
        <fgColor rgb="00e8f0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5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164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7c59"/>
    <outlinePr summaryBelow="1" summaryRight="1"/>
    <pageSetUpPr/>
  </sheetPr>
  <dimension ref="B1:J1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20" customWidth="1" min="4" max="4"/>
    <col width="5" customWidth="1" min="5" max="5"/>
    <col hidden="1" width="13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G1" t="inlineStr">
        <is>
          <t>Service</t>
        </is>
      </c>
      <c r="H1" t="inlineStr">
        <is>
          <t>Min</t>
        </is>
      </c>
      <c r="I1" t="inlineStr">
        <is>
          <t>Rate</t>
        </is>
      </c>
      <c r="J1" t="inlineStr">
        <is>
          <t>Unit</t>
        </is>
      </c>
    </row>
    <row r="2">
      <c r="B2" s="1" t="inlineStr">
        <is>
          <t>TotalGuard Yard Care</t>
        </is>
      </c>
      <c r="G2" t="inlineStr">
        <is>
          <t>Weekly Mowing + Trim + Blow</t>
        </is>
      </c>
      <c r="H2" t="n">
        <v>55</v>
      </c>
      <c r="I2" t="n">
        <v>0.003</v>
      </c>
      <c r="J2" t="inlineStr">
        <is>
          <t>sqft</t>
        </is>
      </c>
    </row>
    <row r="3">
      <c r="B3" s="2" t="inlineStr">
        <is>
          <t>Pricing Calculator</t>
        </is>
      </c>
      <c r="G3" t="inlineStr">
        <is>
          <t>Edging (add-on)</t>
        </is>
      </c>
      <c r="H3" t="n">
        <v>10</v>
      </c>
      <c r="I3" t="n">
        <v>0.001</v>
      </c>
      <c r="J3" t="inlineStr">
        <is>
          <t>sqft</t>
        </is>
      </c>
    </row>
    <row r="4">
      <c r="G4" t="inlineStr">
        <is>
          <t>Spring Cleanup</t>
        </is>
      </c>
      <c r="H4" t="n">
        <v>150</v>
      </c>
      <c r="I4" t="n">
        <v>0.018</v>
      </c>
      <c r="J4" t="inlineStr">
        <is>
          <t>sqft</t>
        </is>
      </c>
    </row>
    <row r="5">
      <c r="B5" s="3" t="inlineStr">
        <is>
          <t>ENTER DETAILS</t>
        </is>
      </c>
      <c r="G5" t="inlineStr">
        <is>
          <t>Fall Cleanup</t>
        </is>
      </c>
      <c r="H5" t="n">
        <v>175</v>
      </c>
      <c r="I5" t="n">
        <v>0.02</v>
      </c>
      <c r="J5" t="inlineStr">
        <is>
          <t>sqft</t>
        </is>
      </c>
    </row>
    <row r="6">
      <c r="G6" t="inlineStr">
        <is>
          <t>Fertilizer Application</t>
        </is>
      </c>
      <c r="H6" t="n">
        <v>85</v>
      </c>
      <c r="I6" t="n">
        <v>0.008</v>
      </c>
      <c r="J6" t="inlineStr">
        <is>
          <t>sqft</t>
        </is>
      </c>
    </row>
    <row r="7">
      <c r="B7" s="4" t="inlineStr">
        <is>
          <t>Square Footage:</t>
        </is>
      </c>
      <c r="C7" s="5" t="n">
        <v>10000</v>
      </c>
      <c r="G7" t="inlineStr">
        <is>
          <t>Herbicide Treatment</t>
        </is>
      </c>
      <c r="H7" t="n">
        <v>95</v>
      </c>
      <c r="I7" t="n">
        <v>0.008999999999999999</v>
      </c>
      <c r="J7" t="inlineStr">
        <is>
          <t>sqft</t>
        </is>
      </c>
    </row>
    <row r="8">
      <c r="G8" t="inlineStr">
        <is>
          <t>Core Aeration</t>
        </is>
      </c>
      <c r="H8" t="n">
        <v>125</v>
      </c>
      <c r="I8" t="n">
        <v>0.012</v>
      </c>
      <c r="J8" t="inlineStr">
        <is>
          <t>sqft</t>
        </is>
      </c>
    </row>
    <row r="9">
      <c r="B9" s="4" t="inlineStr">
        <is>
          <t>Select Service:</t>
        </is>
      </c>
      <c r="C9" s="6" t="inlineStr">
        <is>
          <t>Weekly Mowing + Trim + Blow</t>
        </is>
      </c>
      <c r="G9" t="inlineStr">
        <is>
          <t>Overseeding</t>
        </is>
      </c>
      <c r="H9" t="n">
        <v>100</v>
      </c>
      <c r="I9" t="n">
        <v>0.01</v>
      </c>
      <c r="J9" t="inlineStr">
        <is>
          <t>sqft</t>
        </is>
      </c>
    </row>
    <row r="10">
      <c r="G10" t="inlineStr">
        <is>
          <t>Aeration + Overseed Bundle</t>
        </is>
      </c>
      <c r="H10" t="n">
        <v>200</v>
      </c>
      <c r="I10" t="n">
        <v>0.019</v>
      </c>
      <c r="J10" t="inlineStr">
        <is>
          <t>sqft</t>
        </is>
      </c>
    </row>
    <row r="11">
      <c r="B11" s="7" t="inlineStr">
        <is>
          <t>Linear Ft / Yards (if applicable):</t>
        </is>
      </c>
      <c r="C11" s="5" t="n">
        <v>0</v>
      </c>
      <c r="G11" t="inlineStr">
        <is>
          <t>Mulching (per yard installed)</t>
        </is>
      </c>
      <c r="H11" t="n">
        <v>85</v>
      </c>
      <c r="I11" t="n">
        <v>0</v>
      </c>
      <c r="J11" t="inlineStr">
        <is>
          <t>yard</t>
        </is>
      </c>
    </row>
    <row r="12">
      <c r="G12" t="inlineStr">
        <is>
          <t>Garden Bed Maintenance</t>
        </is>
      </c>
      <c r="H12" t="n">
        <v>75</v>
      </c>
      <c r="I12" t="n">
        <v>0.015</v>
      </c>
      <c r="J12" t="inlineStr">
        <is>
          <t>sqft</t>
        </is>
      </c>
    </row>
    <row r="13">
      <c r="B13" s="3" t="inlineStr">
        <is>
          <t>YOUR PRICE</t>
        </is>
      </c>
      <c r="G13" t="inlineStr">
        <is>
          <t>Shrub/Hedge Trimming</t>
        </is>
      </c>
      <c r="H13" t="n">
        <v>95</v>
      </c>
      <c r="I13" t="n">
        <v>0</v>
      </c>
      <c r="J13" t="inlineStr">
        <is>
          <t>each</t>
        </is>
      </c>
    </row>
    <row r="14">
      <c r="G14" t="inlineStr">
        <is>
          <t>Leaf Removal</t>
        </is>
      </c>
      <c r="H14" t="n">
        <v>150</v>
      </c>
      <c r="I14" t="n">
        <v>0.018</v>
      </c>
      <c r="J14" t="inlineStr">
        <is>
          <t>sqft</t>
        </is>
      </c>
    </row>
    <row r="15">
      <c r="B15" s="8">
        <f>ROUND(MAX(VLOOKUP(C9,G1:I18,2,FALSE),IF(OR(VLOOKUP(C9,G1:J18,4,FALSE)="linft",VLOOKUP(C9,G1:J18,4,FALSE)="yard"),C11*VLOOKUP(C9,G1:I18,3,FALSE),C7*VLOOKUP(C9,G1:I18,3,FALSE)))/5,0)*5</f>
        <v/>
      </c>
      <c r="G15" t="inlineStr">
        <is>
          <t>Gutter Cleaning</t>
        </is>
      </c>
      <c r="H15" t="n">
        <v>125</v>
      </c>
      <c r="I15" t="n">
        <v>1.25</v>
      </c>
      <c r="J15" t="inlineStr">
        <is>
          <t>linft</t>
        </is>
      </c>
    </row>
    <row r="16">
      <c r="G16" t="inlineStr">
        <is>
          <t>Gutter Guards Install</t>
        </is>
      </c>
      <c r="H16" t="n">
        <v>0</v>
      </c>
      <c r="I16" t="n">
        <v>7</v>
      </c>
      <c r="J16" t="inlineStr">
        <is>
          <t>linft</t>
        </is>
      </c>
    </row>
    <row r="17">
      <c r="B17" s="9" t="inlineStr">
        <is>
          <t>For Mulching, Gutter Cleaning, Gutter Guards: enter quantity in "Linear Ft / Yards" field</t>
        </is>
      </c>
      <c r="G17" t="inlineStr">
        <is>
          <t>Snow Removal (per visit)</t>
        </is>
      </c>
      <c r="H17" t="n">
        <v>65</v>
      </c>
      <c r="I17" t="n">
        <v>0.003</v>
      </c>
      <c r="J17" t="inlineStr">
        <is>
          <t>sqft</t>
        </is>
      </c>
    </row>
    <row r="18">
      <c r="B18" s="9" t="inlineStr">
        <is>
          <t>For Shrub Trimming: enter number of shrubs in "Linear Ft / Yards" field</t>
        </is>
      </c>
      <c r="G18" t="inlineStr">
        <is>
          <t>Snow Season Contract</t>
        </is>
      </c>
      <c r="H18" t="n">
        <v>500</v>
      </c>
      <c r="I18" t="n">
        <v>0.03</v>
      </c>
      <c r="J18" t="inlineStr">
        <is>
          <t>sqft</t>
        </is>
      </c>
    </row>
  </sheetData>
  <mergeCells count="7">
    <mergeCell ref="B3:D3"/>
    <mergeCell ref="B5:D5"/>
    <mergeCell ref="B17:D17"/>
    <mergeCell ref="B18:D18"/>
    <mergeCell ref="B13:D13"/>
    <mergeCell ref="B15:D15"/>
    <mergeCell ref="B2:D2"/>
  </mergeCells>
  <dataValidations count="1">
    <dataValidation sqref="C9" showDropDown="0" showInputMessage="0" showErrorMessage="0" allowBlank="0" errorTitle="Invalid Service" error="Please select a service from the list" type="list">
      <formula1>"Weekly Mowing + Trim + Blow,Edging (add-on),Spring Cleanup,Fall Cleanup,Fertilizer Application,Herbicide Treatment,Core Aeration,Overseeding,Aeration + Overseed Bundle,Mulching (per yard installed),Garden Bed Maintenance,Shrub/Hedge Trimming,Leaf Removal,Gutter Cleaning,Gutter Guards Install,Snow Removal (per visit),Snow Season Contract"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B2:F22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55" customWidth="1" min="5" max="5"/>
    <col width="18" customWidth="1" min="6" max="6"/>
  </cols>
  <sheetData>
    <row r="2">
      <c r="B2" s="1" t="inlineStr">
        <is>
          <t>TotalGuard Yard Care — Master Price Sheet</t>
        </is>
      </c>
    </row>
    <row r="3">
      <c r="B3" s="10" t="inlineStr">
        <is>
          <t>Internal Reference — Do Not Share</t>
        </is>
      </c>
    </row>
    <row r="5">
      <c r="B5" s="11" t="inlineStr">
        <is>
          <t>Service</t>
        </is>
      </c>
      <c r="C5" s="11" t="inlineStr">
        <is>
          <t>Min Price</t>
        </is>
      </c>
      <c r="D5" s="11" t="inlineStr">
        <is>
          <t>Per Unit Rate</t>
        </is>
      </c>
      <c r="E5" s="11" t="inlineStr">
        <is>
          <t>What's Included</t>
        </is>
      </c>
      <c r="F5" s="11" t="inlineStr">
        <is>
          <t>Season</t>
        </is>
      </c>
    </row>
    <row r="6" ht="30" customHeight="1">
      <c r="B6" s="12" t="inlineStr">
        <is>
          <t>Weekly Mowing + Trim + Blow</t>
        </is>
      </c>
      <c r="C6" s="13" t="inlineStr">
        <is>
          <t>$55</t>
        </is>
      </c>
      <c r="D6" s="13" t="inlineStr">
        <is>
          <t>$0.004/sq ft</t>
        </is>
      </c>
      <c r="E6" s="13" t="inlineStr">
        <is>
          <t>Mow, string trim edges, blow clippings off walks/drives</t>
        </is>
      </c>
      <c r="F6" s="13" t="inlineStr">
        <is>
          <t>Apr–Nov</t>
        </is>
      </c>
    </row>
    <row r="7" ht="30" customHeight="1">
      <c r="B7" s="14" t="inlineStr">
        <is>
          <t>Edging (add-on)</t>
        </is>
      </c>
      <c r="C7" s="15" t="inlineStr">
        <is>
          <t>$10</t>
        </is>
      </c>
      <c r="D7" s="15" t="inlineStr">
        <is>
          <t>$0.001/sq ft</t>
        </is>
      </c>
      <c r="E7" s="15" t="inlineStr">
        <is>
          <t>Hard edge along sidewalks, driveways, garden beds</t>
        </is>
      </c>
      <c r="F7" s="15" t="inlineStr">
        <is>
          <t>Apr–Nov</t>
        </is>
      </c>
    </row>
    <row r="8" ht="30" customHeight="1">
      <c r="B8" s="12" t="inlineStr">
        <is>
          <t>Spring Cleanup</t>
        </is>
      </c>
      <c r="C8" s="13" t="inlineStr">
        <is>
          <t>$150</t>
        </is>
      </c>
      <c r="D8" s="13" t="inlineStr">
        <is>
          <t>$0.018/sq ft</t>
        </is>
      </c>
      <c r="E8" s="13" t="inlineStr">
        <is>
          <t>Debris removal, bed cleanup, first mow, edge all borders</t>
        </is>
      </c>
      <c r="F8" s="13" t="inlineStr">
        <is>
          <t>Mar–May</t>
        </is>
      </c>
    </row>
    <row r="9" ht="30" customHeight="1">
      <c r="B9" s="14" t="inlineStr">
        <is>
          <t>Fall Cleanup</t>
        </is>
      </c>
      <c r="C9" s="15" t="inlineStr">
        <is>
          <t>$175</t>
        </is>
      </c>
      <c r="D9" s="15" t="inlineStr">
        <is>
          <t>$0.020/sq ft</t>
        </is>
      </c>
      <c r="E9" s="15" t="inlineStr">
        <is>
          <t>Leaf removal, final mow, bed prep, gutter flush</t>
        </is>
      </c>
      <c r="F9" s="15" t="inlineStr">
        <is>
          <t>Oct–Nov</t>
        </is>
      </c>
    </row>
    <row r="10" ht="30" customHeight="1">
      <c r="B10" s="12" t="inlineStr">
        <is>
          <t>Fertilizer Application</t>
        </is>
      </c>
      <c r="C10" s="13" t="inlineStr">
        <is>
          <t>$85</t>
        </is>
      </c>
      <c r="D10" s="13" t="inlineStr">
        <is>
          <t>$0.008/sq ft</t>
        </is>
      </c>
      <c r="E10" s="13" t="inlineStr">
        <is>
          <t>Granular fertilizer application, custom blend per season</t>
        </is>
      </c>
      <c r="F10" s="13" t="inlineStr">
        <is>
          <t>Apr–Oct</t>
        </is>
      </c>
    </row>
    <row r="11" ht="30" customHeight="1">
      <c r="B11" s="14" t="inlineStr">
        <is>
          <t>Herbicide Treatment</t>
        </is>
      </c>
      <c r="C11" s="15" t="inlineStr">
        <is>
          <t>$95</t>
        </is>
      </c>
      <c r="D11" s="15" t="inlineStr">
        <is>
          <t>$0.009/sq ft</t>
        </is>
      </c>
      <c r="E11" s="15" t="inlineStr">
        <is>
          <t>Selective herbicide — kills broadleaf weeds, safe for grass</t>
        </is>
      </c>
      <c r="F11" s="15" t="inlineStr">
        <is>
          <t>May–Sep</t>
        </is>
      </c>
    </row>
    <row r="12" ht="30" customHeight="1">
      <c r="B12" s="12" t="inlineStr">
        <is>
          <t>Core Aeration</t>
        </is>
      </c>
      <c r="C12" s="13" t="inlineStr">
        <is>
          <t>$125</t>
        </is>
      </c>
      <c r="D12" s="13" t="inlineStr">
        <is>
          <t>$0.012/sq ft</t>
        </is>
      </c>
      <c r="E12" s="13" t="inlineStr">
        <is>
          <t>Mechanical core aeration, plugs left to decompose</t>
        </is>
      </c>
      <c r="F12" s="13" t="inlineStr">
        <is>
          <t>Sep–Oct</t>
        </is>
      </c>
    </row>
    <row r="13" ht="30" customHeight="1">
      <c r="B13" s="14" t="inlineStr">
        <is>
          <t>Overseeding</t>
        </is>
      </c>
      <c r="C13" s="15" t="inlineStr">
        <is>
          <t>$100</t>
        </is>
      </c>
      <c r="D13" s="15" t="inlineStr">
        <is>
          <t>$0.010/sq ft</t>
        </is>
      </c>
      <c r="E13" s="15" t="inlineStr">
        <is>
          <t>Premium grass seed broadcast over aerated lawn</t>
        </is>
      </c>
      <c r="F13" s="15" t="inlineStr">
        <is>
          <t>Sep–Oct</t>
        </is>
      </c>
    </row>
    <row r="14" ht="30" customHeight="1">
      <c r="B14" s="12" t="inlineStr">
        <is>
          <t>Aeration + Overseed Bundle</t>
        </is>
      </c>
      <c r="C14" s="13" t="inlineStr">
        <is>
          <t>$200</t>
        </is>
      </c>
      <c r="D14" s="13" t="inlineStr">
        <is>
          <t>$0.019/sq ft</t>
        </is>
      </c>
      <c r="E14" s="13" t="inlineStr">
        <is>
          <t>Core aeration + overseeding in one visit (save $25)</t>
        </is>
      </c>
      <c r="F14" s="13" t="inlineStr">
        <is>
          <t>Sep–Oct</t>
        </is>
      </c>
    </row>
    <row r="15" ht="30" customHeight="1">
      <c r="B15" s="14" t="inlineStr">
        <is>
          <t>Mulching</t>
        </is>
      </c>
      <c r="C15" s="15" t="inlineStr">
        <is>
          <t>$85/yard</t>
        </is>
      </c>
      <c r="D15" s="15" t="inlineStr">
        <is>
          <t>N/A</t>
        </is>
      </c>
      <c r="E15" s="15" t="inlineStr">
        <is>
          <t>Deliver, spread, and edge mulch in beds</t>
        </is>
      </c>
      <c r="F15" s="15" t="inlineStr">
        <is>
          <t>Apr–Oct</t>
        </is>
      </c>
    </row>
    <row r="16" ht="30" customHeight="1">
      <c r="B16" s="12" t="inlineStr">
        <is>
          <t>Garden Bed Maintenance</t>
        </is>
      </c>
      <c r="C16" s="13" t="inlineStr">
        <is>
          <t>$75</t>
        </is>
      </c>
      <c r="D16" s="13" t="inlineStr">
        <is>
          <t>$0.015/sq ft</t>
        </is>
      </c>
      <c r="E16" s="13" t="inlineStr">
        <is>
          <t>Weeding, edging, pruning, debris removal from beds</t>
        </is>
      </c>
      <c r="F16" s="13" t="inlineStr">
        <is>
          <t>Apr–Oct</t>
        </is>
      </c>
    </row>
    <row r="17" ht="30" customHeight="1">
      <c r="B17" s="14" t="inlineStr">
        <is>
          <t>Shrub/Hedge Trimming</t>
        </is>
      </c>
      <c r="C17" s="15" t="inlineStr">
        <is>
          <t>$95</t>
        </is>
      </c>
      <c r="D17" s="15" t="inlineStr">
        <is>
          <t>Per shrub</t>
        </is>
      </c>
      <c r="E17" s="15" t="inlineStr">
        <is>
          <t>Shape and trim hedges, shrubs, ornamental grasses</t>
        </is>
      </c>
      <c r="F17" s="15" t="inlineStr">
        <is>
          <t>May–Sep</t>
        </is>
      </c>
    </row>
    <row r="18" ht="30" customHeight="1">
      <c r="B18" s="12" t="inlineStr">
        <is>
          <t>Leaf Removal</t>
        </is>
      </c>
      <c r="C18" s="13" t="inlineStr">
        <is>
          <t>$150</t>
        </is>
      </c>
      <c r="D18" s="13" t="inlineStr">
        <is>
          <t>$0.018/sq ft</t>
        </is>
      </c>
      <c r="E18" s="13" t="inlineStr">
        <is>
          <t>Full property leaf removal, hauled off-site</t>
        </is>
      </c>
      <c r="F18" s="13" t="inlineStr">
        <is>
          <t>Oct–Nov</t>
        </is>
      </c>
    </row>
    <row r="19" ht="30" customHeight="1">
      <c r="B19" s="14" t="inlineStr">
        <is>
          <t>Gutter Cleaning</t>
        </is>
      </c>
      <c r="C19" s="15" t="inlineStr">
        <is>
          <t>$125</t>
        </is>
      </c>
      <c r="D19" s="15" t="inlineStr">
        <is>
          <t>$1.25/linear ft</t>
        </is>
      </c>
      <c r="E19" s="15" t="inlineStr">
        <is>
          <t>Clean gutters + flush downspouts, debris bagged</t>
        </is>
      </c>
      <c r="F19" s="15" t="inlineStr">
        <is>
          <t>Spring &amp; Fall</t>
        </is>
      </c>
    </row>
    <row r="20" ht="30" customHeight="1">
      <c r="B20" s="12" t="inlineStr">
        <is>
          <t>Gutter Guards Install</t>
        </is>
      </c>
      <c r="C20" s="13" t="inlineStr">
        <is>
          <t>Quote</t>
        </is>
      </c>
      <c r="D20" s="13" t="inlineStr">
        <is>
          <t>$7/linear ft</t>
        </is>
      </c>
      <c r="E20" s="13" t="inlineStr">
        <is>
          <t>Install mesh gutter guards on all gutters</t>
        </is>
      </c>
      <c r="F20" s="13" t="inlineStr">
        <is>
          <t>Year-round</t>
        </is>
      </c>
    </row>
    <row r="21" ht="30" customHeight="1">
      <c r="B21" s="14" t="inlineStr">
        <is>
          <t>Snow Removal (per visit)</t>
        </is>
      </c>
      <c r="C21" s="15" t="inlineStr">
        <is>
          <t>$65</t>
        </is>
      </c>
      <c r="D21" s="15" t="inlineStr">
        <is>
          <t>$0.003/sq ft</t>
        </is>
      </c>
      <c r="E21" s="15" t="inlineStr">
        <is>
          <t>Plow driveway + shovel walks, salt included</t>
        </is>
      </c>
      <c r="F21" s="15" t="inlineStr">
        <is>
          <t>Nov–Mar</t>
        </is>
      </c>
    </row>
    <row r="22" ht="30" customHeight="1">
      <c r="B22" s="12" t="inlineStr">
        <is>
          <t>Snow Season Contract</t>
        </is>
      </c>
      <c r="C22" s="13" t="inlineStr">
        <is>
          <t>$500</t>
        </is>
      </c>
      <c r="D22" s="13" t="inlineStr">
        <is>
          <t>$0.030/sq ft</t>
        </is>
      </c>
      <c r="E22" s="13" t="inlineStr">
        <is>
          <t>Unlimited snow removal all season, priority response</t>
        </is>
      </c>
      <c r="F22" s="13" t="inlineStr">
        <is>
          <t>Nov–Mar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2026-03-06T05:26:26Z</dcterms:created>
  <dcterms:modified xsi:type="dcterms:W3CDTF">2026-03-06T14:27:44Z</dcterms:modified>
</cp:coreProperties>
</file>